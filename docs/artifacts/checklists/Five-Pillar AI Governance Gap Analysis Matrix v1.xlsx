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Gap Analysis" sheetId="2" state="visible" r:id="rId4"/>
    <sheet name="Risk Heat Map" sheetId="3" state="visible" r:id="rId5"/>
    <sheet name="Remediation Tracker" sheetId="4" state="visible" r:id="rId6"/>
    <sheet name="Scenario Overlay" sheetId="5" state="visible" r:id="rId7"/>
  </sheets>
  <definedNames>
    <definedName function="false" hidden="true" localSheetId="1" name="_xlnm._FilterDatabase" vbProcedure="false">'Gap Analysis'!$A$1:$V$43</definedName>
    <definedName function="false" hidden="true" localSheetId="3" name="_xlnm._FilterDatabase" vbProcedure="false">'Remediation Tracker'!$A$1:$Q$43</definedName>
    <definedName function="false" hidden="true" localSheetId="4" name="_xlnm._FilterDatabase" vbProcedure="false">'Scenario Overlay'!$A$1:$H$43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<sst xmlns="http://schemas.openxmlformats.org/spreadsheetml/2006/main" count="825" uniqueCount="348">
  <si>
    <t xml:space="preserve">FIVE-PILLAR AI GOVERNANCE FRAMEWORK</t>
  </si>
  <si>
    <t xml:space="preserve">Gap Analysis Matrix — Phase 2 Assessment</t>
  </si>
  <si>
    <t xml:space="preserve">Version 1.0 — May 2026</t>
  </si>
  <si>
    <t xml:space="preserve">PURPOSE</t>
  </si>
  <si>
    <t xml:space="preserve">This workbook captures the gap analysis output from Phase 2 assessment. It documents the current state of each control, identifies gaps against target-state requirements, scores risk, assigns remediation actions to specific 360-accountability roles, sets timelines, tracks evidence, and feeds directly into POA&amp;M construction (Phase 3) and authorization packages (Phase 5).</t>
  </si>
  <si>
    <t xml:space="preserve">SHEETS</t>
  </si>
  <si>
    <t xml:space="preserve">1. Instructions — This sheet</t>
  </si>
  <si>
    <t xml:space="preserve">2. Gap Analysis — The master gap-analysis matrix with all 42 controls across five pillars</t>
  </si>
  <si>
    <t xml:space="preserve">3. Risk Heat Map — Summary risk view with conditional formatting</t>
  </si>
  <si>
    <t xml:space="preserve">4. Remediation Tracker — POA&amp;M-ready remediation tracking with status and milestone fields</t>
  </si>
  <si>
    <t xml:space="preserve">5. Scenario Overlay — Scenario-specific applicability flags and delta requirements</t>
  </si>
  <si>
    <t xml:space="preserve">COLUMNS</t>
  </si>
  <si>
    <t xml:space="preserve">Control ID — Framework control identifier (P1-C01 through P5-C10)</t>
  </si>
  <si>
    <t xml:space="preserve">Control Name — Descriptive name of the control</t>
  </si>
  <si>
    <t xml:space="preserve">Framework Pillar — Which of the five pillars this control belongs to</t>
  </si>
  <si>
    <t xml:space="preserve">NIST 800-53 — Mapped NIST 800-53 Rev 5 control(s)</t>
  </si>
  <si>
    <t xml:space="preserve">NIST AI RMF — Mapped NIST AI RMF subcategory(ies)</t>
  </si>
  <si>
    <t xml:space="preserve">ISO 42001 — Mapped ISO 42001 Annex A control(s)</t>
  </si>
  <si>
    <t xml:space="preserve">Current State — Assessor description of the current implementation</t>
  </si>
  <si>
    <t xml:space="preserve">Maturity Stage — Traditional / Initial / Advanced / Optimal per CISA ZTMM v2.0 methodology</t>
  </si>
  <si>
    <t xml:space="preserve">Target State — Description of the required target state</t>
  </si>
  <si>
    <t xml:space="preserve">Gap Description — Specific description of what is missing or deficient</t>
  </si>
  <si>
    <t xml:space="preserve">Likelihood — Likelihood that the gap will be exploited (1-5 scale)</t>
  </si>
  <si>
    <t xml:space="preserve">Impact — Impact if the gap is exploited (1-5 scale)</t>
  </si>
  <si>
    <t xml:space="preserve">Risk Score — Likelihood x Impact (auto-calculated)</t>
  </si>
  <si>
    <t xml:space="preserve">Risk Rating — Critical (20-25) / High (12-19) / Moderate (6-11) / Low (1-5) (auto-calculated)</t>
  </si>
  <si>
    <t xml:space="preserve">Remediation Action — Specific action to close the gap</t>
  </si>
  <si>
    <t xml:space="preserve">Owner (360 Role) — The 360-accountability role responsible (Developer/Deployer/Contractor/Vendor/Regulator/End-User)</t>
  </si>
  <si>
    <t xml:space="preserve">Timeline — Remediation deadline (High=30d, Moderate=90d, Low=180d per FedRAMP)</t>
  </si>
  <si>
    <t xml:space="preserve">Milestone — Intermediate milestone or checkpoint</t>
  </si>
  <si>
    <t xml:space="preserve">Evidence Required — Specific evidence artifact that demonstrates closure</t>
  </si>
  <si>
    <t xml:space="preserve">Evidence Status — Collected / Pending / Not Available / N/A</t>
  </si>
  <si>
    <t xml:space="preserve">POA&amp;M Item — Yes/No: should this gap be tracked as a POA&amp;M item?</t>
  </si>
  <si>
    <t xml:space="preserve">Notes — Additional assessor notes</t>
  </si>
  <si>
    <t xml:space="preserve">RISK SCORING</t>
  </si>
  <si>
    <t xml:space="preserve">Likelihood: 1=Very Low, 2=Low, 3=Moderate, 4=High, 5=Very High</t>
  </si>
  <si>
    <t xml:space="preserve">Impact: 1=Negligible, 2=Minor, 3=Moderate, 4=Major, 5=Catastrophic</t>
  </si>
  <si>
    <t xml:space="preserve">Risk Score = Likelihood x Impact (auto-calculated formula)</t>
  </si>
  <si>
    <t xml:space="preserve">Risk Rating thresholds: Critical=20-25, High=12-19, Moderate=6-11, Low=1-5</t>
  </si>
  <si>
    <t xml:space="preserve">Control ID</t>
  </si>
  <si>
    <t xml:space="preserve">Control Name</t>
  </si>
  <si>
    <t xml:space="preserve">Framework Pillar</t>
  </si>
  <si>
    <t xml:space="preserve">NIST 800-53</t>
  </si>
  <si>
    <t xml:space="preserve">NIST AI RMF</t>
  </si>
  <si>
    <t xml:space="preserve">ISO 42001</t>
  </si>
  <si>
    <t xml:space="preserve">Current State</t>
  </si>
  <si>
    <t xml:space="preserve">Maturity Stage</t>
  </si>
  <si>
    <t xml:space="preserve">Target State</t>
  </si>
  <si>
    <t xml:space="preserve">Gap Description</t>
  </si>
  <si>
    <t xml:space="preserve">Likelihood
(1-5)</t>
  </si>
  <si>
    <t xml:space="preserve">Impact
(1-5)</t>
  </si>
  <si>
    <t xml:space="preserve">Risk Score</t>
  </si>
  <si>
    <t xml:space="preserve">Risk Rating</t>
  </si>
  <si>
    <t xml:space="preserve">Remediation Action</t>
  </si>
  <si>
    <t xml:space="preserve">Owner
(360 Role)</t>
  </si>
  <si>
    <t xml:space="preserve">Timeline</t>
  </si>
  <si>
    <t xml:space="preserve">Milestone</t>
  </si>
  <si>
    <t xml:space="preserve">Evidence Required</t>
  </si>
  <si>
    <t xml:space="preserve">Evidence Status</t>
  </si>
  <si>
    <t xml:space="preserve">POA&amp;M Item</t>
  </si>
  <si>
    <t xml:space="preserve">Notes</t>
  </si>
  <si>
    <t xml:space="preserve">P1-C01</t>
  </si>
  <si>
    <t xml:space="preserve">AI Impact Assessment (AIA)</t>
  </si>
  <si>
    <t xml:space="preserve">P1: Baked In</t>
  </si>
  <si>
    <t xml:space="preserve">PL-2, RA-3, PT-5</t>
  </si>
  <si>
    <t xml:space="preserve">GOVERN-1.2, MAP-1.1</t>
  </si>
  <si>
    <t xml:space="preserve">A.5.2, A.5.3</t>
  </si>
  <si>
    <t xml:space="preserve">Completed AIA for every high-impact AI system per M-25-21 §4(c)(2) with all seven required elements; CAIO sign-off; annual recertification</t>
  </si>
  <si>
    <t xml:space="preserve">P1-C02</t>
  </si>
  <si>
    <t xml:space="preserve">Model Card Production</t>
  </si>
  <si>
    <t xml:space="preserve">SA-4, SA-5, PM-30</t>
  </si>
  <si>
    <t xml:space="preserve">MEASURE-2.6</t>
  </si>
  <si>
    <t xml:space="preserve">A.6.2.4</t>
  </si>
  <si>
    <t xml:space="preserve">Signed model card for every deployed model; covers all 11 sections including red-team results, fairness assessments, environmental impact, and M-26-04 disclosures</t>
  </si>
  <si>
    <t xml:space="preserve">P1-C03</t>
  </si>
  <si>
    <t xml:space="preserve">Datasheet for Datasets</t>
  </si>
  <si>
    <t xml:space="preserve">SA-4, PM-30</t>
  </si>
  <si>
    <t xml:space="preserve">MAP-2.3, MEASURE-2.5</t>
  </si>
  <si>
    <t xml:space="preserve">A.7.2, A.7.4</t>
  </si>
  <si>
    <t xml:space="preserve">Completed Gebru et al. datasheet for every training, fine-tuning, and evaluation dataset; provenance documented; poisoning assessment completed</t>
  </si>
  <si>
    <t xml:space="preserve">P1-C04</t>
  </si>
  <si>
    <t xml:space="preserve">AIBOM Production</t>
  </si>
  <si>
    <t xml:space="preserve">SR-4, CM-8</t>
  </si>
  <si>
    <t xml:space="preserve">MANAGE-3.2</t>
  </si>
  <si>
    <t xml:space="preserve">A.6.2.3</t>
  </si>
  <si>
    <t xml:space="preserve">CycloneDX ML-BOM 1.6 or SPDX 3.0.1 AI Profile for every AI artifact; signed via Sigstore; published to Rekor transparency log</t>
  </si>
  <si>
    <t xml:space="preserve">P1-C05</t>
  </si>
  <si>
    <t xml:space="preserve">SBOM Production</t>
  </si>
  <si>
    <t xml:space="preserve">SR-4, CM-8, SA-17</t>
  </si>
  <si>
    <t xml:space="preserve">—</t>
  </si>
  <si>
    <t xml:space="preserve">CycloneDX 1.6 or SPDX 3.0.1 SBOM per CISA 2025 Minimum Elements for all software components; signed and logged</t>
  </si>
  <si>
    <t xml:space="preserve">P1-C06</t>
  </si>
  <si>
    <t xml:space="preserve">SLSA Build Provenance</t>
  </si>
  <si>
    <t xml:space="preserve">SA-10, SR-3, SR-11</t>
  </si>
  <si>
    <t xml:space="preserve">SLSA v1.0 Level 2+ achieved; in-toto ITE-6 attestations signed via Sigstore Fulcio; all dependencies pinned by hash in lockfiles</t>
  </si>
  <si>
    <t xml:space="preserve">P1-C07</t>
  </si>
  <si>
    <t xml:space="preserve">AI Threat Model (ATT&amp;CK + ATLAS)</t>
  </si>
  <si>
    <t xml:space="preserve">RA-3, RA-5, SA-11</t>
  </si>
  <si>
    <t xml:space="preserve">MAP-5.1</t>
  </si>
  <si>
    <t xml:space="preserve">A.5.4</t>
  </si>
  <si>
    <t xml:space="preserve">Unified MITRE ATT&amp;CK + ATLAS threat model for every AI system; updated annually or upon significant change; cross-referenced to OWASP LLM Top 10</t>
  </si>
  <si>
    <t xml:space="preserve">P1-C08</t>
  </si>
  <si>
    <t xml:space="preserve">Privacy Impact Assessment</t>
  </si>
  <si>
    <t xml:space="preserve">PT-1, PT-5</t>
  </si>
  <si>
    <t xml:space="preserve">MAP-5.2</t>
  </si>
  <si>
    <t xml:space="preserve">A.5.3</t>
  </si>
  <si>
    <t xml:space="preserve">Completed PIA per OMB M-03-22 with AI Supplement for every system processing PII; SORN where applicable; AI-specific risks addressed</t>
  </si>
  <si>
    <t xml:space="preserve">P1-C09</t>
  </si>
  <si>
    <t xml:space="preserve">Pre-Deployment Evaluation Gate</t>
  </si>
  <si>
    <t xml:space="preserve">SA-11, SA-15, CA-2</t>
  </si>
  <si>
    <t xml:space="preserve">MEASURE-1.1, MEASURE-2.7</t>
  </si>
  <si>
    <t xml:space="preserve">A.6.2.5</t>
  </si>
  <si>
    <t xml:space="preserve">CI/CD pipeline enforces evaluation gate; models cannot deploy without passing Inspect/HELM/lm-eval thresholds; results signed as in-toto attestations</t>
  </si>
  <si>
    <t xml:space="preserve">P1-C10</t>
  </si>
  <si>
    <t xml:space="preserve">GenAI Acceptable Use Terms</t>
  </si>
  <si>
    <t xml:space="preserve">PL-4, AT-2</t>
  </si>
  <si>
    <t xml:space="preserve">GOVERN-4.1</t>
  </si>
  <si>
    <t xml:space="preserve">A.9.4</t>
  </si>
  <si>
    <t xml:space="preserve">Published and distributed Acceptable Use Terms per M-25-21; training completed for all users; signature records maintained</t>
  </si>
  <si>
    <t xml:space="preserve">P2-C01</t>
  </si>
  <si>
    <t xml:space="preserve">AI-Specific Incident Response Plan</t>
  </si>
  <si>
    <t xml:space="preserve">P2: Assumed Breach</t>
  </si>
  <si>
    <t xml:space="preserve">IR-1, IR-4, IR-8</t>
  </si>
  <si>
    <t xml:space="preserve">MANAGE-4.1</t>
  </si>
  <si>
    <t xml:space="preserve">A.8.4</t>
  </si>
  <si>
    <t xml:space="preserve">AI IR plan covers 8 scenario runbooks (prompt injection, model exfil, training-data leak, jailbreak, agent-goes-rogue, supply-chain, hallucination harm, content-provenance); tested within 12 months</t>
  </si>
  <si>
    <t xml:space="preserve">P2-C02</t>
  </si>
  <si>
    <t xml:space="preserve">AI Tabletop Exercise (HSEEP)</t>
  </si>
  <si>
    <t xml:space="preserve">IR-3, CP-4</t>
  </si>
  <si>
    <t xml:space="preserve">MANAGE-4.3</t>
  </si>
  <si>
    <t xml:space="preserve">HSEEP-compliant TTX with AI-specific scenario conducted within past 12 months; AAR/IP completed; corrective actions tracked to closure</t>
  </si>
  <si>
    <t xml:space="preserve">P2-C03</t>
  </si>
  <si>
    <t xml:space="preserve">AI Red Team / Capability Eval</t>
  </si>
  <si>
    <t xml:space="preserve">CA-8, RA-5, SA-11</t>
  </si>
  <si>
    <t xml:space="preserve">MEASURE-2.7</t>
  </si>
  <si>
    <t xml:space="preserve">A.6.2.6</t>
  </si>
  <si>
    <t xml:space="preserve">Red-team exercise using recognized methodology (CDAO CAIRT, METR, Inspect, Apollo Research); findings severity-scored; N1/N2 closed within 90 days</t>
  </si>
  <si>
    <t xml:space="preserve">P2-C04</t>
  </si>
  <si>
    <t xml:space="preserve">AI-Specific SIEM Integration</t>
  </si>
  <si>
    <t xml:space="preserve">AU-2, AU-3, SI-4</t>
  </si>
  <si>
    <t xml:space="preserve">SIEM ingests OTel GenAI semantic-convention spans: prompts, completions, tool-use, embeddings, RAG retrieval; detection rules active for OWASP LLM Top 10</t>
  </si>
  <si>
    <t xml:space="preserve">P2-C05</t>
  </si>
  <si>
    <t xml:space="preserve">Prompt Injection Detection</t>
  </si>
  <si>
    <t xml:space="preserve">SI-3, SI-4, SI-10</t>
  </si>
  <si>
    <t xml:space="preserve">Specialized prompt-injection detector deployed (Lakera Guard, NeMo Guardrails, Bedrock Guardrails, or equivalent); false-positive rate &lt;5%; monitored continuously</t>
  </si>
  <si>
    <t xml:space="preserve">P2-C06</t>
  </si>
  <si>
    <t xml:space="preserve">Agent Containment Architecture</t>
  </si>
  <si>
    <t xml:space="preserve">SC-7, SC-39, CM-7</t>
  </si>
  <si>
    <t xml:space="preserve">Agent workloads run in Firecracker/gVisor/Kata/WASM sandboxes with egress filtering; tool-use allowlists enforced; blast-radius architecturally limited</t>
  </si>
  <si>
    <t xml:space="preserve">P2-C07</t>
  </si>
  <si>
    <t xml:space="preserve">Kill-Switch Capability</t>
  </si>
  <si>
    <t xml:space="preserve">IR-4(3), SC-7(20)</t>
  </si>
  <si>
    <t xml:space="preserve">Demonstrated capability to disconnect all inbound connections to AI systems within 15 minutes per NSA guidance; tested within past 12 months</t>
  </si>
  <si>
    <t xml:space="preserve">P2-C08</t>
  </si>
  <si>
    <t xml:space="preserve">Model-Weight Security (RAND SL)</t>
  </si>
  <si>
    <t xml:space="preserve">SC-28, MP-4, PE-3</t>
  </si>
  <si>
    <t xml:space="preserve">Model weights stored at RAND SL3+ with HSM-backed encryption keys; access logged; weight integrity verified on load; Highly Restricted Zone per NSA guidance</t>
  </si>
  <si>
    <t xml:space="preserve">P3-C01</t>
  </si>
  <si>
    <t xml:space="preserve">Concentration Risk Register</t>
  </si>
  <si>
    <t xml:space="preserve">P3: No SPOF</t>
  </si>
  <si>
    <t xml:space="preserve">RA-3, SA-9, SR-2</t>
  </si>
  <si>
    <t xml:space="preserve">MAP-4.1, MAP-4.2</t>
  </si>
  <si>
    <t xml:space="preserve">A.10.2</t>
  </si>
  <si>
    <t xml:space="preserve">8-dimension concentration register maintained and reviewed quarterly; no single vendor &gt;org-defined threshold without documented risk acceptance</t>
  </si>
  <si>
    <t xml:space="preserve">P3-C02</t>
  </si>
  <si>
    <t xml:space="preserve">Foundation Model Failover Plan</t>
  </si>
  <si>
    <t xml:space="preserve">CP-2, CP-4, CP-7</t>
  </si>
  <si>
    <t xml:space="preserve">MANAGE-2.1</t>
  </si>
  <si>
    <t xml:space="preserve">A.4.5</t>
  </si>
  <si>
    <t xml:space="preserve">Documented failover to alternative model provider; tested within 12 months; RTO/RPO measured and within tolerance</t>
  </si>
  <si>
    <t xml:space="preserve">P3-C03</t>
  </si>
  <si>
    <t xml:space="preserve">Dependency Pinning (Lockfiles)</t>
  </si>
  <si>
    <t xml:space="preserve">SR-3, SR-11, CM-3</t>
  </si>
  <si>
    <t xml:space="preserve">All dependencies pinned by hash in lockfiles (poetry.lock, uv.lock, package-lock.json); no floating version references; automated alerts on lockfile drift</t>
  </si>
  <si>
    <t xml:space="preserve">P3-C04</t>
  </si>
  <si>
    <t xml:space="preserve">Separation of Duties for AI</t>
  </si>
  <si>
    <t xml:space="preserve">AC-5, AC-3(2), AC-6</t>
  </si>
  <si>
    <t xml:space="preserve">GOVERN-2.2</t>
  </si>
  <si>
    <t xml:space="preserve">A.3.3</t>
  </si>
  <si>
    <t xml:space="preserve">SoD matrix enforced; production model deployments require multi-party authorization; model-release keys protected by dual-control or threshold cryptography</t>
  </si>
  <si>
    <t xml:space="preserve">P3-C05</t>
  </si>
  <si>
    <t xml:space="preserve">BIA with AI Dependencies</t>
  </si>
  <si>
    <t xml:space="preserve">CP-2, RA-3</t>
  </si>
  <si>
    <t xml:space="preserve">MAP-1.1</t>
  </si>
  <si>
    <t xml:space="preserve">BIA includes all AI system dependencies; MTD/RTO/RPO defined per AI system; BIA reviewed annually or upon significant change</t>
  </si>
  <si>
    <t xml:space="preserve">P3-C06</t>
  </si>
  <si>
    <t xml:space="preserve">ISCP with AI Scenarios</t>
  </si>
  <si>
    <t xml:space="preserve">CP-2, CP-7, CP-10</t>
  </si>
  <si>
    <t xml:space="preserve">ISCP covers AI-specific scenarios (model-provider outage, GPU unavailability, training-data corruption, eval-provider failure); tested within 12 months</t>
  </si>
  <si>
    <t xml:space="preserve">P4-C01</t>
  </si>
  <si>
    <t xml:space="preserve">Phishing-Resistant MFA</t>
  </si>
  <si>
    <t xml:space="preserve">P4: Zero Trust</t>
  </si>
  <si>
    <t xml:space="preserve">IA-2, IA-5, IA-8</t>
  </si>
  <si>
    <t xml:space="preserve">Phishing-resistant MFA (FIDO2/WebAuthn or PIV/CAC only) enforced enterprise-wide for all AI system access; legacy factors (SMS, TOTP, push) eliminated</t>
  </si>
  <si>
    <t xml:space="preserve">P4-C02</t>
  </si>
  <si>
    <t xml:space="preserve">Workload Identity (SPIFFE/SPIRE)</t>
  </si>
  <si>
    <t xml:space="preserve">IA-2, IA-3, SC-8</t>
  </si>
  <si>
    <t xml:space="preserve">SPIFFE SVIDs issued for 100% of AI workloads; 1-hour validity with 30-min rotation; trust-domain federation configured for multi-cloud</t>
  </si>
  <si>
    <t xml:space="preserve">P4-C03</t>
  </si>
  <si>
    <t xml:space="preserve">Agent Identity and Authorization</t>
  </si>
  <si>
    <t xml:space="preserve">IA-2, IA-8, AC-3</t>
  </si>
  <si>
    <t xml:space="preserve">Agent identities issued under CAISI-aligned standards with delegation-chain attestations; human-to-agent delegation via RFC 8693 token exchange</t>
  </si>
  <si>
    <t xml:space="preserve">P4-C04</t>
  </si>
  <si>
    <t xml:space="preserve">Per-Action Agent Authorization</t>
  </si>
  <si>
    <t xml:space="preserve">AC-3, AC-4, AC-6</t>
  </si>
  <si>
    <t xml:space="preserve">Every agent tool invocation separately authorized via scoped OAuth tokens or capability tokens; human-in-the-loop for high-risk actions; audit trail per action</t>
  </si>
  <si>
    <t xml:space="preserve">P4-C05</t>
  </si>
  <si>
    <t xml:space="preserve">Microsegmentation for AI</t>
  </si>
  <si>
    <t xml:space="preserve">SC-7, SC-7(5), AC-4</t>
  </si>
  <si>
    <t xml:space="preserve">Training clusters, inference fleets, vector DBs, and agent sandboxes in separate segments with identity-aware L3-L7 policy (Cilium/Istio); mTLS on all east-west</t>
  </si>
  <si>
    <t xml:space="preserve">P4-C06</t>
  </si>
  <si>
    <t xml:space="preserve">Confidential Computing for AI</t>
  </si>
  <si>
    <t xml:space="preserve">SC-28, SC-12</t>
  </si>
  <si>
    <t xml:space="preserve">Intel TDX / AMD SEV-SNP / NVIDIA H100 CC for inference workloads handling CUI or high-impact data; remote attestation verified before key release</t>
  </si>
  <si>
    <t xml:space="preserve">P4-C07</t>
  </si>
  <si>
    <t xml:space="preserve">MCP Security Assessment</t>
  </si>
  <si>
    <t xml:space="preserve">SR-3, SR-6, SA-11</t>
  </si>
  <si>
    <t xml:space="preserve">All MCP servers inventoried; STDIO servers assessed against OX Security disclosure; HTTP servers configured with OAuth 2.1 per spec; CVE-2026-30615 family mitigated</t>
  </si>
  <si>
    <t xml:space="preserve">P4-C08</t>
  </si>
  <si>
    <t xml:space="preserve">Continuous Authorization</t>
  </si>
  <si>
    <t xml:space="preserve">CA-7, AC-2(12)</t>
  </si>
  <si>
    <t xml:space="preserve">Continuous risk-based authorization for all AI workloads; UEBA/ITDR integrated; step-up authentication for agent scope escalation; mean time-to-revoke &lt;60 seconds</t>
  </si>
  <si>
    <t xml:space="preserve">P5-C01</t>
  </si>
  <si>
    <t xml:space="preserve">360-Accountability Role Matrix</t>
  </si>
  <si>
    <t xml:space="preserve">P5: 360 Account.</t>
  </si>
  <si>
    <t xml:space="preserve">PM-2, PM-10, PS-7</t>
  </si>
  <si>
    <t xml:space="preserve">GOVERN-2.1, GOVERN-2.2</t>
  </si>
  <si>
    <t xml:space="preserve">A.3.2, A.3.3</t>
  </si>
  <si>
    <t xml:space="preserve">Role-control responsibility matrix completed for every AI system; all six roles mapped; reviewed annually; ownership disputes escalated to AI Governance Board</t>
  </si>
  <si>
    <t xml:space="preserve">P5-C02</t>
  </si>
  <si>
    <t xml:space="preserve">Hash-Chained Evidence Registry</t>
  </si>
  <si>
    <t xml:space="preserve">AU-10, AU-11, AU-9</t>
  </si>
  <si>
    <t xml:space="preserve">All governance artifacts stored under SHA-256 digest in append-only registry; in-toto ITE-6 attestation envelopes; Sigstore signatures published to Rekor</t>
  </si>
  <si>
    <t xml:space="preserve">P5-C03</t>
  </si>
  <si>
    <t xml:space="preserve">OSCAL Machine-Readable Evidence</t>
  </si>
  <si>
    <t xml:space="preserve">CA-2, CA-5, CA-7</t>
  </si>
  <si>
    <t xml:space="preserve">Full OSCAL SSP/SAP/SAR/POA&amp;M generated from evidence pipeline; cross-referenced by UUID; compliant with FedRAMP RFC-0024 Sept 2026 deadline</t>
  </si>
  <si>
    <t xml:space="preserve">P5-C04</t>
  </si>
  <si>
    <t xml:space="preserve">Contractor AI Flow-Down Clauses</t>
  </si>
  <si>
    <t xml:space="preserve">SA-9, SR-2, SR-6, PS-7</t>
  </si>
  <si>
    <t xml:space="preserve">GOVERN-6.1</t>
  </si>
  <si>
    <t xml:space="preserve">A.10.2, A.10.3</t>
  </si>
  <si>
    <t xml:space="preserve">AI-specific clauses in all AI-related contracts: ZDR/no-train, AIBOM production, evaluation participation, incident reporting, certifier verification</t>
  </si>
  <si>
    <t xml:space="preserve">P5-C05</t>
  </si>
  <si>
    <t xml:space="preserve">Certifier Due Diligence</t>
  </si>
  <si>
    <t xml:space="preserve">SR-6, CA-2</t>
  </si>
  <si>
    <t xml:space="preserve">GOVERN-6.2</t>
  </si>
  <si>
    <t xml:space="preserve">A.10.3</t>
  </si>
  <si>
    <t xml:space="preserve">Third-party certifications (SOC 2, ISO, FedRAMP, CMMC) verified beyond face-value acceptance; certifier engagement-letter attestation required; bridge letters tracked</t>
  </si>
  <si>
    <t xml:space="preserve">P5-C06</t>
  </si>
  <si>
    <t xml:space="preserve">Append-Only Inference Logging</t>
  </si>
  <si>
    <t xml:space="preserve">AU-2, AU-3, AU-9, AU-11</t>
  </si>
  <si>
    <t xml:space="preserve">All inference prompts/completions logged to WORM storage with cryptographic checkpointing; litigation-hold procedure tested; retention per NARA schedule</t>
  </si>
  <si>
    <t xml:space="preserve">P5-C07</t>
  </si>
  <si>
    <t xml:space="preserve">Incident Disclosure Pipeline</t>
  </si>
  <si>
    <t xml:space="preserve">IR-6, IR-7</t>
  </si>
  <si>
    <t xml:space="preserve">Multi-channel disclosure SOP: CAIO (immediate), US-CERT (1hr), JCDC.AI (24hr), OMB (as required), public (per breach notification law), EU Art 73 (15-day/2-day/immediate)</t>
  </si>
  <si>
    <t xml:space="preserve">P5-C08</t>
  </si>
  <si>
    <t xml:space="preserve">Whistleblower Channel (AI)</t>
  </si>
  <si>
    <t xml:space="preserve">PM-29, IR-6</t>
  </si>
  <si>
    <t xml:space="preserve">GOVERN-4.2</t>
  </si>
  <si>
    <t xml:space="preserve">A.3.4</t>
  </si>
  <si>
    <t xml:space="preserve">AI-specific whistleblower channel with NDA carve-outs; SEC/DoD-IG/agency-IG/state-public-policy protections; training provided; no-retaliation policy enforced</t>
  </si>
  <si>
    <t xml:space="preserve">P5-C09</t>
  </si>
  <si>
    <t xml:space="preserve">End-User AUP with AI Obligations</t>
  </si>
  <si>
    <t xml:space="preserve">AUP includes output-verification obligation, disclosure-of-AI-use requirement, error-reporting duty; signed by all users; refreshed annually</t>
  </si>
  <si>
    <t xml:space="preserve">P5-C10</t>
  </si>
  <si>
    <t xml:space="preserve">AI Use Case Inventory Entry</t>
  </si>
  <si>
    <t xml:space="preserve">PM-5, PM-11</t>
  </si>
  <si>
    <t xml:space="preserve">GOVERN-1.1</t>
  </si>
  <si>
    <t xml:space="preserve">A.2.2</t>
  </si>
  <si>
    <t xml:space="preserve">Every AI system entered in the public AI Use Case Inventory per OMB schema; high-impact flag set; contact email published; updated at least annually</t>
  </si>
  <si>
    <t xml:space="preserve">Risk Heat Map Summary</t>
  </si>
  <si>
    <t xml:space="preserve">Pillar</t>
  </si>
  <si>
    <t xml:space="preserve">Critical</t>
  </si>
  <si>
    <t xml:space="preserve">High</t>
  </si>
  <si>
    <t xml:space="preserve">Moderate</t>
  </si>
  <si>
    <t xml:space="preserve">Low</t>
  </si>
  <si>
    <t xml:space="preserve">Not Assessed</t>
  </si>
  <si>
    <t xml:space="preserve">TOTAL</t>
  </si>
  <si>
    <t xml:space="preserve">Maturity Distribution by Pillar</t>
  </si>
  <si>
    <t xml:space="preserve">Traditional</t>
  </si>
  <si>
    <t xml:space="preserve">Initial</t>
  </si>
  <si>
    <t xml:space="preserve">Advanced</t>
  </si>
  <si>
    <t xml:space="preserve">Optimal</t>
  </si>
  <si>
    <t xml:space="preserve">Owner (360 Role)</t>
  </si>
  <si>
    <t xml:space="preserve">Deadline</t>
  </si>
  <si>
    <t xml:space="preserve">Milestone 1</t>
  </si>
  <si>
    <t xml:space="preserve">M1 Date</t>
  </si>
  <si>
    <t xml:space="preserve">M1 Status</t>
  </si>
  <si>
    <t xml:space="preserve">Milestone 2</t>
  </si>
  <si>
    <t xml:space="preserve">M2 Date</t>
  </si>
  <si>
    <t xml:space="preserve">M2 Status</t>
  </si>
  <si>
    <t xml:space="preserve">Closure Evidence</t>
  </si>
  <si>
    <t xml:space="preserve">Closure Date</t>
  </si>
  <si>
    <t xml:space="preserve">Verified By</t>
  </si>
  <si>
    <t xml:space="preserve">POA&amp;M ID</t>
  </si>
  <si>
    <t xml:space="preserve">Status</t>
  </si>
  <si>
    <t xml:space="preserve">DoD GenAI
(Scenario A)</t>
  </si>
  <si>
    <t xml:space="preserve">FedRAMP 20x
(Scenario B)</t>
  </si>
  <si>
    <t xml:space="preserve">CMMC DIB
(Scenario C)</t>
  </si>
  <si>
    <t xml:space="preserve">Civilian M-25-21
(Scenario D)</t>
  </si>
  <si>
    <t xml:space="preserve">Scenario-Specific Delta Notes</t>
  </si>
  <si>
    <t xml:space="preserve">Required</t>
  </si>
  <si>
    <t xml:space="preserve">Recommended</t>
  </si>
  <si>
    <t xml:space="preserve">AIA required by M-25-21 for civilian high-impact; DoD equivalent via CDAO RAI Toolkit; recommended for FedRAMP/CMMC as best practice</t>
  </si>
  <si>
    <t xml:space="preserve">Model cards are a practical requirement across all scenarios; GSA AI clause §(b)(2) makes them procurement-relevant</t>
  </si>
  <si>
    <t xml:space="preserve">Critical for DoD (CUI-derivative risk) and civilian (bias/fairness evidence); recommended for all</t>
  </si>
  <si>
    <t xml:space="preserve">AIBOM is a framework v1 mandate across all scenarios; most differentiated new requirement</t>
  </si>
  <si>
    <t xml:space="preserve">SBOM required by EO 14028 lineage; FedRAMP KSI-CMT; CMMC SR domain; universal applicability</t>
  </si>
  <si>
    <t xml:space="preserve">SLSA provenance is the Mercor lesson; lockfile pinning would have prevented the LiteLLM breach</t>
  </si>
  <si>
    <t xml:space="preserve">Unified ATT&amp;CK+ATLAS threat model is universal; ATLAS is AI-specific addition</t>
  </si>
  <si>
    <t xml:space="preserve">N/A</t>
  </si>
  <si>
    <t xml:space="preserve">PIA required by E-Gov Act for civilian; DoD per DoDI 5400.16; FedRAMP KSI-PIY; not separately required for CMMC CUI-only</t>
  </si>
  <si>
    <t xml:space="preserve">Pre-deployment eval gate is M-25-21 §4(c)(1) for civilian/DoD high-impact; FedRAMP best practice; CMMC recommended</t>
  </si>
  <si>
    <t xml:space="preserve">M-25-21 §2(b) mandates GenAI AUP for civilian; DoD CIO GenAI memo; recommended for all</t>
  </si>
  <si>
    <t xml:space="preserve">AI IR plan is universal; scenario-specific runbooks differ (DoD: CUI exfil; FedRAMP: cross-tenant; CMMC: CUI mishandling; Civilian: hallucination harm)</t>
  </si>
  <si>
    <t xml:space="preserve">HSEEP TTX universal; scenario changes per deployment archetype</t>
  </si>
  <si>
    <t xml:space="preserve">Red-team universal; DoD uses CDAO CAIRT; FedRAMP uses KSI-AFR; civilian uses M-25-21 §4(c)(1)</t>
  </si>
  <si>
    <t xml:space="preserve">SIEM integration universal; OTel GenAI conventions are the common denominator</t>
  </si>
  <si>
    <t xml:space="preserve">Prompt injection detection is OWASP LLM #1; universal for any LLM deployment</t>
  </si>
  <si>
    <t xml:space="preserve">Agent containment most critical for DoD/FedRAMP where multi-tenant or classified; recommended for all</t>
  </si>
  <si>
    <t xml:space="preserve">Kill-switch per NSA guidance; critical for any high-impact deployment</t>
  </si>
  <si>
    <t xml:space="preserve">Weight security critical for DoD (classified/CUI weights) and CMMC (CUI-derivative); recommended for all</t>
  </si>
  <si>
    <t xml:space="preserve">Concentration register universal; dimensions weighted differently per scenario</t>
  </si>
  <si>
    <t xml:space="preserve">Failover most critical for high-availability missions; CMMC typically single-use-case</t>
  </si>
  <si>
    <t xml:space="preserve">Lockfile pinning universal; the Mercor/LiteLLM lesson applies to all scenarios</t>
  </si>
  <si>
    <t xml:space="preserve">SoD universal; DoD has specific dual-control requirements; CMMC AC-5</t>
  </si>
  <si>
    <t xml:space="preserve">BIA universal; CMMC recommended as best practice beyond minimum 110 controls</t>
  </si>
  <si>
    <t xml:space="preserve">ISCP with AI scenarios; critical for high-availability missions</t>
  </si>
  <si>
    <t xml:space="preserve">Phishing-resistant MFA universal; FedRAMP 20x KSI-IAM-01 is the strictest (FIDO2/WebAuthn only)</t>
  </si>
  <si>
    <t xml:space="preserve">SPIFFE/SPIRE most mature for cloud-native; DoD ICAM covers NPE; recommended for all</t>
  </si>
  <si>
    <t xml:space="preserve">Agent identity still emerging (CAISI RFI stage); required for DoD/FedRAMP agentic deployments</t>
  </si>
  <si>
    <t xml:space="preserve">Per-action auth critical where agents have tool access; M-25-21 §4(c)(5) human oversight supports this</t>
  </si>
  <si>
    <t xml:space="preserve">Microsegmentation required for DoD ZT Strategy, FedRAMP SC-7, CMMC SC domain; recommended for civilian</t>
  </si>
  <si>
    <t xml:space="preserve">Confidential computing for DoD IL5+ and high-sensitivity FedRAMP; N/A for most civilian unless CUI</t>
  </si>
  <si>
    <t xml:space="preserve">MCP assessment universal; any organization using MCP servers must assess</t>
  </si>
  <si>
    <t xml:space="preserve">Continuous auth most critical for high-QPS environments; recommended baseline for all</t>
  </si>
  <si>
    <t xml:space="preserve">Role matrix universal; the distinctive Pillar 5 contribution</t>
  </si>
  <si>
    <t xml:space="preserve">Hash-chained registry most critical for authorization-bound deployments; recommended for all</t>
  </si>
  <si>
    <t xml:space="preserve">OSCAL required by FedRAMP RFC-0024 Sept 2026; feeds DoD eMASS; recommended for CMMC; M-25-21 reporting</t>
  </si>
  <si>
    <t xml:space="preserve">Contractor flow-down universal; DFARS 7012/7021 for DoD/CMMC; FAR 52.244-6 for civilian; M-25-22 for all</t>
  </si>
  <si>
    <t xml:space="preserve">Certifier due diligence is the Delve/Mercor lesson; universal best practice</t>
  </si>
  <si>
    <t xml:space="preserve">Inference logging critical for litigation-hold readiness; NYT v. OpenAI precedent applies to all</t>
  </si>
  <si>
    <t xml:space="preserve">Incident disclosure universal; timelines differ (DFARS 72hr, EU Art 73 15d, etc.)</t>
  </si>
  <si>
    <t xml:space="preserve">Whistleblower channel critical for M-25-21 compliance and DoD-IG obligations; recommended for all</t>
  </si>
  <si>
    <t xml:space="preserve">End-user AUP critical for M-25-21 §4(c)(7) and DoD AUP mandates; recommended for all</t>
  </si>
  <si>
    <t xml:space="preserve">AI Use Case Inventory per M-25-21 §7 for civilian and DoD; not separately required for CMMC</t>
  </si>
</sst>
</file>

<file path=xl/styles.xml><?xml version="1.0" encoding="utf-8"?>
<styleSheet xmlns="http://schemas.openxmlformats.org/spreadsheetml/2006/main">
  <numFmts count="1">
    <numFmt numFmtId="164" formatCode="General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B3A5C"/>
      <name val="Arial"/>
      <family val="0"/>
      <charset val="1"/>
    </font>
    <font>
      <sz val="10"/>
      <color rgb="FF333333"/>
      <name val="Arial"/>
      <family val="0"/>
      <charset val="1"/>
    </font>
    <font>
      <b val="true"/>
      <sz val="13"/>
      <color rgb="FF2E75B6"/>
      <name val="Arial"/>
      <family val="0"/>
      <charset val="1"/>
    </font>
    <font>
      <b val="true"/>
      <sz val="11"/>
      <color rgb="FF1B3A5C"/>
      <name val="Arial"/>
      <family val="0"/>
      <charset val="1"/>
    </font>
    <font>
      <b val="true"/>
      <sz val="10"/>
      <color rgb="FF1B3A5C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333333"/>
      <name val="Arial"/>
      <family val="0"/>
      <charset val="1"/>
    </font>
    <font>
      <b val="true"/>
      <sz val="9"/>
      <color rgb="FF2E75B6"/>
      <name val="Arial"/>
      <family val="0"/>
      <charset val="1"/>
    </font>
    <font>
      <b val="true"/>
      <sz val="9"/>
      <color rgb="FFC0392B"/>
      <name val="Arial"/>
      <family val="0"/>
      <charset val="1"/>
    </font>
    <font>
      <b val="true"/>
      <sz val="9"/>
      <color rgb="FF27AE60"/>
      <name val="Arial"/>
      <family val="0"/>
      <charset val="1"/>
    </font>
    <font>
      <b val="true"/>
      <sz val="9"/>
      <color rgb="FF8E44AD"/>
      <name val="Arial"/>
      <family val="0"/>
      <charset val="1"/>
    </font>
    <font>
      <b val="true"/>
      <sz val="9"/>
      <color rgb="FFE67E22"/>
      <name val="Arial"/>
      <family val="0"/>
      <charset val="1"/>
    </font>
    <font>
      <b val="true"/>
      <sz val="14"/>
      <color rgb="FF1B3A5C"/>
      <name val="Arial"/>
      <family val="0"/>
      <charset val="1"/>
    </font>
    <font>
      <b val="true"/>
      <sz val="9"/>
      <color rgb="FF1E8449"/>
      <name val="Arial"/>
      <family val="0"/>
      <charset val="1"/>
    </font>
    <font>
      <sz val="9"/>
      <color rgb="FFB7950B"/>
      <name val="Arial"/>
      <family val="0"/>
      <charset val="1"/>
    </font>
    <font>
      <sz val="9"/>
      <color rgb="FF999999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B3A5C"/>
        <bgColor rgb="FF333333"/>
      </patternFill>
    </fill>
    <fill>
      <patternFill patternType="solid">
        <fgColor rgb="FFF2F2F2"/>
        <bgColor rgb="FFF2F3F4"/>
      </patternFill>
    </fill>
    <fill>
      <patternFill patternType="solid">
        <fgColor rgb="FFFFF9E6"/>
        <bgColor rgb="FFFEF9E7"/>
      </patternFill>
    </fill>
    <fill>
      <patternFill patternType="solid">
        <fgColor rgb="FFFFFFFF"/>
        <bgColor rgb="FFFEF9E7"/>
      </patternFill>
    </fill>
    <fill>
      <patternFill patternType="solid">
        <fgColor rgb="FF2E75B6"/>
        <bgColor rgb="FF0066CC"/>
      </patternFill>
    </fill>
    <fill>
      <patternFill patternType="solid">
        <fgColor rgb="FF27AE60"/>
        <bgColor rgb="FF1E8449"/>
      </patternFill>
    </fill>
    <fill>
      <patternFill patternType="solid">
        <fgColor rgb="FF8E44AD"/>
        <bgColor rgb="FF993366"/>
      </patternFill>
    </fill>
    <fill>
      <patternFill patternType="solid">
        <fgColor rgb="FFD5F5E3"/>
        <bgColor rgb="FFF2F2F2"/>
      </patternFill>
    </fill>
    <fill>
      <patternFill patternType="solid">
        <fgColor rgb="FFFEF9E7"/>
        <bgColor rgb="FFFFF9E6"/>
      </patternFill>
    </fill>
    <fill>
      <patternFill patternType="solid">
        <fgColor rgb="FFF2F3F4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5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5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8" fillId="1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9" fillId="11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0">
    <dxf>
      <fill>
        <patternFill patternType="solid">
          <fgColor rgb="FF1B3A5C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333333"/>
          <bgColor rgb="FF000000"/>
        </patternFill>
      </fill>
    </dxf>
    <dxf>
      <fill>
        <patternFill patternType="solid">
          <fgColor rgb="FF27AE60"/>
          <bgColor rgb="FF000000"/>
        </patternFill>
      </fill>
    </dxf>
    <dxf>
      <fill>
        <patternFill patternType="solid">
          <fgColor rgb="FF2E75B6"/>
          <bgColor rgb="FF000000"/>
        </patternFill>
      </fill>
    </dxf>
    <dxf>
      <fill>
        <patternFill patternType="solid">
          <fgColor rgb="FF8E44AD"/>
          <bgColor rgb="FF000000"/>
        </patternFill>
      </fill>
    </dxf>
    <dxf>
      <fill>
        <patternFill patternType="solid">
          <fgColor rgb="FFC0392B"/>
          <bgColor rgb="FF000000"/>
        </patternFill>
      </fill>
    </dxf>
    <dxf>
      <fill>
        <patternFill patternType="solid">
          <fgColor rgb="FFE67E22"/>
          <bgColor rgb="FF000000"/>
        </patternFill>
      </fill>
    </dxf>
    <dxf>
      <fill>
        <patternFill patternType="solid">
          <fgColor rgb="FFFFF9E6"/>
          <bgColor rgb="FF000000"/>
        </patternFill>
      </fill>
    </dxf>
    <dxf>
      <font>
        <b val="1"/>
        <color rgb="FFFFFFFF"/>
      </font>
      <fill>
        <patternFill>
          <bgColor rgb="FFE74C3C"/>
        </patternFill>
      </fill>
    </dxf>
    <dxf>
      <font>
        <b val="1"/>
        <color rgb="FFFFFFFF"/>
      </font>
      <fill>
        <patternFill>
          <bgColor rgb="FFE67E22"/>
        </patternFill>
      </fill>
    </dxf>
    <dxf>
      <font>
        <b val="1"/>
      </font>
      <fill>
        <patternFill>
          <bgColor rgb="FFF39C12"/>
        </patternFill>
      </fill>
    </dxf>
    <dxf>
      <font>
        <b val="1"/>
        <color rgb="FFFFFFFF"/>
      </font>
      <fill>
        <patternFill>
          <bgColor rgb="FF27AE60"/>
        </patternFill>
      </fill>
    </dxf>
    <dxf>
      <fill>
        <patternFill patternType="solid">
          <fgColor rgb="FFD5F5E3"/>
          <bgColor rgb="FF000000"/>
        </patternFill>
      </fill>
    </dxf>
    <dxf>
      <fill>
        <patternFill patternType="solid">
          <fgColor rgb="FF1E8449"/>
          <bgColor rgb="FF000000"/>
        </patternFill>
      </fill>
    </dxf>
    <dxf>
      <fill>
        <patternFill patternType="solid">
          <fgColor rgb="FFFEF9E7"/>
          <bgColor rgb="FF000000"/>
        </patternFill>
      </fill>
    </dxf>
    <dxf>
      <fill>
        <patternFill patternType="solid">
          <fgColor rgb="FFB7950B"/>
          <bgColor rgb="FF000000"/>
        </patternFill>
      </fill>
    </dxf>
    <dxf>
      <fill>
        <patternFill patternType="solid">
          <fgColor rgb="FFF2F3F4"/>
          <bgColor rgb="FF000000"/>
        </patternFill>
      </fill>
    </dxf>
    <dxf>
      <fill>
        <patternFill patternType="solid">
          <fgColor rgb="FF999999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7950B"/>
      <rgbColor rgb="FF800080"/>
      <rgbColor rgb="FF1E8449"/>
      <rgbColor rgb="FFBBBBBB"/>
      <rgbColor rgb="FF808080"/>
      <rgbColor rgb="FF9999FF"/>
      <rgbColor rgb="FF8E44AD"/>
      <rgbColor rgb="FFFFF9E6"/>
      <rgbColor rgb="FFF2F3F4"/>
      <rgbColor rgb="FF660066"/>
      <rgbColor rgb="FFE74C3C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5F5E3"/>
      <rgbColor rgb="FFFEF9E7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39C12"/>
      <rgbColor rgb="FFE67E22"/>
      <rgbColor rgb="FF666699"/>
      <rgbColor rgb="FF999999"/>
      <rgbColor rgb="FF1B3A5C"/>
      <rgbColor rgb="FF27AE60"/>
      <rgbColor rgb="FF003300"/>
      <rgbColor rgb="FF333300"/>
      <rgbColor rgb="FFC0392B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3A5C"/>
    <pageSetUpPr fitToPage="false"/>
  </sheetPr>
  <dimension ref="A1:B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00"/>
  </cols>
  <sheetData>
    <row r="1" customFormat="false" ht="19.7" hidden="false" customHeight="false" outlineLevel="0" collapsed="false">
      <c r="A1" s="1" t="s">
        <v>0</v>
      </c>
      <c r="B1" s="2"/>
    </row>
    <row r="2" customFormat="false" ht="16.15" hidden="false" customHeight="false" outlineLevel="0" collapsed="false">
      <c r="A2" s="3" t="s">
        <v>1</v>
      </c>
      <c r="B2" s="2"/>
    </row>
    <row r="3" customFormat="false" ht="15" hidden="false" customHeight="false" outlineLevel="0" collapsed="false">
      <c r="A3" s="4" t="s">
        <v>2</v>
      </c>
      <c r="B3" s="2"/>
    </row>
    <row r="4" customFormat="false" ht="15" hidden="false" customHeight="false" outlineLevel="0" collapsed="false">
      <c r="A4" s="5"/>
      <c r="B4" s="2"/>
    </row>
    <row r="5" customFormat="false" ht="46.25" hidden="false" customHeight="false" outlineLevel="0" collapsed="false">
      <c r="A5" s="5" t="s">
        <v>3</v>
      </c>
      <c r="B5" s="2" t="s">
        <v>4</v>
      </c>
    </row>
    <row r="6" customFormat="false" ht="15" hidden="false" customHeight="false" outlineLevel="0" collapsed="false">
      <c r="A6" s="5"/>
      <c r="B6" s="2"/>
    </row>
    <row r="7" customFormat="false" ht="15" hidden="false" customHeight="false" outlineLevel="0" collapsed="false">
      <c r="A7" s="5" t="s">
        <v>5</v>
      </c>
      <c r="B7" s="2" t="s">
        <v>6</v>
      </c>
    </row>
    <row r="8" customFormat="false" ht="15" hidden="false" customHeight="false" outlineLevel="0" collapsed="false">
      <c r="A8" s="5"/>
      <c r="B8" s="2" t="s">
        <v>7</v>
      </c>
    </row>
    <row r="9" customFormat="false" ht="15" hidden="false" customHeight="false" outlineLevel="0" collapsed="false">
      <c r="A9" s="5"/>
      <c r="B9" s="2" t="s">
        <v>8</v>
      </c>
    </row>
    <row r="10" customFormat="false" ht="15" hidden="false" customHeight="false" outlineLevel="0" collapsed="false">
      <c r="A10" s="5"/>
      <c r="B10" s="2" t="s">
        <v>9</v>
      </c>
    </row>
    <row r="11" customFormat="false" ht="15" hidden="false" customHeight="false" outlineLevel="0" collapsed="false">
      <c r="A11" s="5"/>
      <c r="B11" s="2" t="s">
        <v>10</v>
      </c>
    </row>
    <row r="12" customFormat="false" ht="15" hidden="false" customHeight="false" outlineLevel="0" collapsed="false">
      <c r="A12" s="5"/>
      <c r="B12" s="2"/>
    </row>
    <row r="13" customFormat="false" ht="15" hidden="false" customHeight="false" outlineLevel="0" collapsed="false">
      <c r="A13" s="5" t="s">
        <v>11</v>
      </c>
      <c r="B13" s="2" t="s">
        <v>12</v>
      </c>
    </row>
    <row r="14" customFormat="false" ht="15" hidden="false" customHeight="false" outlineLevel="0" collapsed="false">
      <c r="A14" s="5"/>
      <c r="B14" s="2" t="s">
        <v>13</v>
      </c>
    </row>
    <row r="15" customFormat="false" ht="15" hidden="false" customHeight="false" outlineLevel="0" collapsed="false">
      <c r="A15" s="5"/>
      <c r="B15" s="2" t="s">
        <v>14</v>
      </c>
    </row>
    <row r="16" customFormat="false" ht="15" hidden="false" customHeight="false" outlineLevel="0" collapsed="false">
      <c r="A16" s="5"/>
      <c r="B16" s="2" t="s">
        <v>15</v>
      </c>
    </row>
    <row r="17" customFormat="false" ht="15" hidden="false" customHeight="false" outlineLevel="0" collapsed="false">
      <c r="A17" s="5"/>
      <c r="B17" s="2" t="s">
        <v>16</v>
      </c>
    </row>
    <row r="18" customFormat="false" ht="15" hidden="false" customHeight="false" outlineLevel="0" collapsed="false">
      <c r="A18" s="5"/>
      <c r="B18" s="2" t="s">
        <v>17</v>
      </c>
    </row>
    <row r="19" customFormat="false" ht="15" hidden="false" customHeight="false" outlineLevel="0" collapsed="false">
      <c r="A19" s="5"/>
      <c r="B19" s="2" t="s">
        <v>18</v>
      </c>
    </row>
    <row r="20" customFormat="false" ht="15" hidden="false" customHeight="false" outlineLevel="0" collapsed="false">
      <c r="A20" s="5"/>
      <c r="B20" s="2" t="s">
        <v>19</v>
      </c>
    </row>
    <row r="21" customFormat="false" ht="15" hidden="false" customHeight="false" outlineLevel="0" collapsed="false">
      <c r="A21" s="5"/>
      <c r="B21" s="2" t="s">
        <v>20</v>
      </c>
    </row>
    <row r="22" customFormat="false" ht="15" hidden="false" customHeight="false" outlineLevel="0" collapsed="false">
      <c r="A22" s="5"/>
      <c r="B22" s="2" t="s">
        <v>21</v>
      </c>
    </row>
    <row r="23" customFormat="false" ht="15" hidden="false" customHeight="false" outlineLevel="0" collapsed="false">
      <c r="A23" s="5"/>
      <c r="B23" s="2" t="s">
        <v>22</v>
      </c>
    </row>
    <row r="24" customFormat="false" ht="15" hidden="false" customHeight="false" outlineLevel="0" collapsed="false">
      <c r="A24" s="5"/>
      <c r="B24" s="2" t="s">
        <v>23</v>
      </c>
    </row>
    <row r="25" customFormat="false" ht="15" hidden="false" customHeight="false" outlineLevel="0" collapsed="false">
      <c r="A25" s="5"/>
      <c r="B25" s="2" t="s">
        <v>24</v>
      </c>
    </row>
    <row r="26" customFormat="false" ht="15" hidden="false" customHeight="false" outlineLevel="0" collapsed="false">
      <c r="A26" s="5"/>
      <c r="B26" s="2" t="s">
        <v>25</v>
      </c>
    </row>
    <row r="27" customFormat="false" ht="15" hidden="false" customHeight="false" outlineLevel="0" collapsed="false">
      <c r="A27" s="5"/>
      <c r="B27" s="2" t="s">
        <v>26</v>
      </c>
    </row>
    <row r="28" customFormat="false" ht="15" hidden="false" customHeight="false" outlineLevel="0" collapsed="false">
      <c r="A28" s="5"/>
      <c r="B28" s="2" t="s">
        <v>27</v>
      </c>
    </row>
    <row r="29" customFormat="false" ht="15" hidden="false" customHeight="false" outlineLevel="0" collapsed="false">
      <c r="A29" s="5"/>
      <c r="B29" s="2" t="s">
        <v>28</v>
      </c>
    </row>
    <row r="30" customFormat="false" ht="15" hidden="false" customHeight="false" outlineLevel="0" collapsed="false">
      <c r="A30" s="5"/>
      <c r="B30" s="2" t="s">
        <v>29</v>
      </c>
    </row>
    <row r="31" customFormat="false" ht="15" hidden="false" customHeight="false" outlineLevel="0" collapsed="false">
      <c r="A31" s="5"/>
      <c r="B31" s="2" t="s">
        <v>30</v>
      </c>
    </row>
    <row r="32" customFormat="false" ht="15" hidden="false" customHeight="false" outlineLevel="0" collapsed="false">
      <c r="A32" s="5"/>
      <c r="B32" s="2" t="s">
        <v>31</v>
      </c>
    </row>
    <row r="33" customFormat="false" ht="15" hidden="false" customHeight="false" outlineLevel="0" collapsed="false">
      <c r="A33" s="5"/>
      <c r="B33" s="2" t="s">
        <v>32</v>
      </c>
    </row>
    <row r="34" customFormat="false" ht="15" hidden="false" customHeight="false" outlineLevel="0" collapsed="false">
      <c r="A34" s="5"/>
      <c r="B34" s="2" t="s">
        <v>33</v>
      </c>
    </row>
    <row r="35" customFormat="false" ht="15" hidden="false" customHeight="false" outlineLevel="0" collapsed="false">
      <c r="A35" s="5"/>
      <c r="B35" s="2"/>
    </row>
    <row r="36" customFormat="false" ht="15" hidden="false" customHeight="false" outlineLevel="0" collapsed="false">
      <c r="A36" s="5" t="s">
        <v>34</v>
      </c>
      <c r="B36" s="2" t="s">
        <v>35</v>
      </c>
    </row>
    <row r="37" customFormat="false" ht="15" hidden="false" customHeight="false" outlineLevel="0" collapsed="false">
      <c r="A37" s="5"/>
      <c r="B37" s="2" t="s">
        <v>36</v>
      </c>
    </row>
    <row r="38" customFormat="false" ht="15" hidden="false" customHeight="false" outlineLevel="0" collapsed="false">
      <c r="A38" s="5"/>
      <c r="B38" s="2" t="s">
        <v>37</v>
      </c>
    </row>
    <row r="39" customFormat="false" ht="15" hidden="false" customHeight="false" outlineLevel="0" collapsed="false">
      <c r="A39" s="5"/>
      <c r="B39" s="2" t="s">
        <v>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V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6" ySplit="1" topLeftCell="G2" activePane="bottomRight" state="frozen"/>
      <selection pane="topLeft" activeCell="A1" activeCellId="0" sqref="A1"/>
      <selection pane="topRight" activeCell="G1" activeCellId="0" sqref="G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0"/>
    <col collapsed="false" customWidth="true" hidden="false" outlineLevel="0" max="3" min="3" style="0" width="15"/>
    <col collapsed="false" customWidth="true" hidden="false" outlineLevel="0" max="4" min="4" style="0" width="20"/>
    <col collapsed="false" customWidth="true" hidden="false" outlineLevel="0" max="5" min="5" style="0" width="22"/>
    <col collapsed="false" customWidth="true" hidden="false" outlineLevel="0" max="6" min="6" style="0" width="12"/>
    <col collapsed="false" customWidth="true" hidden="false" outlineLevel="0" max="7" min="7" style="0" width="30"/>
    <col collapsed="false" customWidth="true" hidden="false" outlineLevel="0" max="8" min="8" style="0" width="14"/>
    <col collapsed="false" customWidth="true" hidden="false" outlineLevel="0" max="9" min="9" style="0" width="34"/>
    <col collapsed="false" customWidth="true" hidden="false" outlineLevel="0" max="10" min="10" style="0" width="30"/>
    <col collapsed="false" customWidth="true" hidden="false" outlineLevel="0" max="13" min="11" style="0" width="10"/>
    <col collapsed="false" customWidth="true" hidden="false" outlineLevel="0" max="14" min="14" style="0" width="12"/>
    <col collapsed="false" customWidth="true" hidden="false" outlineLevel="0" max="15" min="15" style="0" width="30"/>
    <col collapsed="false" customWidth="true" hidden="false" outlineLevel="0" max="16" min="16" style="0" width="14"/>
    <col collapsed="false" customWidth="true" hidden="false" outlineLevel="0" max="17" min="17" style="0" width="12"/>
    <col collapsed="false" customWidth="true" hidden="false" outlineLevel="0" max="18" min="18" style="0" width="18"/>
    <col collapsed="false" customWidth="true" hidden="false" outlineLevel="0" max="19" min="19" style="0" width="28"/>
    <col collapsed="false" customWidth="true" hidden="false" outlineLevel="0" max="20" min="20" style="0" width="14"/>
    <col collapsed="false" customWidth="true" hidden="false" outlineLevel="0" max="21" min="21" style="0" width="10"/>
    <col collapsed="false" customWidth="true" hidden="false" outlineLevel="0" max="22" min="22" style="0" width="24"/>
  </cols>
  <sheetData>
    <row r="1" customFormat="false" ht="36" hidden="false" customHeight="true" outlineLevel="0" collapsed="false">
      <c r="A1" s="6" t="s">
        <v>39</v>
      </c>
      <c r="B1" s="6" t="s">
        <v>40</v>
      </c>
      <c r="C1" s="6" t="s">
        <v>41</v>
      </c>
      <c r="D1" s="6" t="s">
        <v>42</v>
      </c>
      <c r="E1" s="6" t="s">
        <v>43</v>
      </c>
      <c r="F1" s="6" t="s">
        <v>44</v>
      </c>
      <c r="G1" s="6" t="s">
        <v>45</v>
      </c>
      <c r="H1" s="6" t="s">
        <v>46</v>
      </c>
      <c r="I1" s="6" t="s">
        <v>47</v>
      </c>
      <c r="J1" s="6" t="s">
        <v>48</v>
      </c>
      <c r="K1" s="6" t="s">
        <v>49</v>
      </c>
      <c r="L1" s="6" t="s">
        <v>50</v>
      </c>
      <c r="M1" s="6" t="s">
        <v>51</v>
      </c>
      <c r="N1" s="6" t="s">
        <v>52</v>
      </c>
      <c r="O1" s="6" t="s">
        <v>53</v>
      </c>
      <c r="P1" s="6" t="s">
        <v>54</v>
      </c>
      <c r="Q1" s="6" t="s">
        <v>55</v>
      </c>
      <c r="R1" s="6" t="s">
        <v>56</v>
      </c>
      <c r="S1" s="6" t="s">
        <v>57</v>
      </c>
      <c r="T1" s="6" t="s">
        <v>58</v>
      </c>
      <c r="U1" s="6" t="s">
        <v>59</v>
      </c>
      <c r="V1" s="6" t="s">
        <v>60</v>
      </c>
    </row>
    <row r="2" customFormat="false" ht="43.25" hidden="false" customHeight="false" outlineLevel="0" collapsed="false">
      <c r="A2" s="7" t="s">
        <v>61</v>
      </c>
      <c r="B2" s="7" t="s">
        <v>62</v>
      </c>
      <c r="C2" s="8" t="s">
        <v>63</v>
      </c>
      <c r="D2" s="7" t="s">
        <v>64</v>
      </c>
      <c r="E2" s="7" t="s">
        <v>65</v>
      </c>
      <c r="F2" s="7" t="s">
        <v>66</v>
      </c>
      <c r="G2" s="9"/>
      <c r="H2" s="9"/>
      <c r="I2" s="7" t="s">
        <v>67</v>
      </c>
      <c r="J2" s="9"/>
      <c r="K2" s="9"/>
      <c r="L2" s="9"/>
      <c r="M2" s="10" t="str">
        <f aca="false">IF(AND(K2&lt;&gt;"",L2&lt;&gt;""),K2*L2,"")</f>
        <v/>
      </c>
      <c r="N2" s="10" t="str">
        <f aca="false">IF(M2="","",IF(M2&gt;=20,"Critical",IF(M2&gt;=12,"High",IF(M2&gt;=6,"Moderate","Low"))))</f>
        <v/>
      </c>
      <c r="O2" s="9"/>
      <c r="P2" s="9"/>
      <c r="Q2" s="9"/>
      <c r="R2" s="9"/>
      <c r="S2" s="9"/>
      <c r="T2" s="9"/>
      <c r="U2" s="9"/>
      <c r="V2" s="9"/>
    </row>
    <row r="3" customFormat="false" ht="53.7" hidden="false" customHeight="false" outlineLevel="0" collapsed="false">
      <c r="A3" s="10" t="s">
        <v>68</v>
      </c>
      <c r="B3" s="10" t="s">
        <v>69</v>
      </c>
      <c r="C3" s="11" t="s">
        <v>63</v>
      </c>
      <c r="D3" s="10" t="s">
        <v>70</v>
      </c>
      <c r="E3" s="10" t="s">
        <v>71</v>
      </c>
      <c r="F3" s="10" t="s">
        <v>72</v>
      </c>
      <c r="G3" s="9"/>
      <c r="H3" s="9"/>
      <c r="I3" s="10" t="s">
        <v>73</v>
      </c>
      <c r="J3" s="9"/>
      <c r="K3" s="9"/>
      <c r="L3" s="9"/>
      <c r="M3" s="10" t="str">
        <f aca="false">IF(AND(K3&lt;&gt;"",L3&lt;&gt;""),K3*L3,"")</f>
        <v/>
      </c>
      <c r="N3" s="10" t="str">
        <f aca="false">IF(M3="","",IF(M3&gt;=20,"Critical",IF(M3&gt;=12,"High",IF(M3&gt;=6,"Moderate","Low"))))</f>
        <v/>
      </c>
      <c r="O3" s="9"/>
      <c r="P3" s="9"/>
      <c r="Q3" s="9"/>
      <c r="R3" s="9"/>
      <c r="S3" s="9"/>
      <c r="T3" s="9"/>
      <c r="U3" s="9"/>
      <c r="V3" s="9"/>
    </row>
    <row r="4" customFormat="false" ht="43.25" hidden="false" customHeight="false" outlineLevel="0" collapsed="false">
      <c r="A4" s="7" t="s">
        <v>74</v>
      </c>
      <c r="B4" s="7" t="s">
        <v>75</v>
      </c>
      <c r="C4" s="8" t="s">
        <v>63</v>
      </c>
      <c r="D4" s="7" t="s">
        <v>76</v>
      </c>
      <c r="E4" s="7" t="s">
        <v>77</v>
      </c>
      <c r="F4" s="7" t="s">
        <v>78</v>
      </c>
      <c r="G4" s="9"/>
      <c r="H4" s="9"/>
      <c r="I4" s="7" t="s">
        <v>79</v>
      </c>
      <c r="J4" s="9"/>
      <c r="K4" s="9"/>
      <c r="L4" s="9"/>
      <c r="M4" s="10" t="str">
        <f aca="false">IF(AND(K4&lt;&gt;"",L4&lt;&gt;""),K4*L4,"")</f>
        <v/>
      </c>
      <c r="N4" s="10" t="str">
        <f aca="false">IF(M4="","",IF(M4&gt;=20,"Critical",IF(M4&gt;=12,"High",IF(M4&gt;=6,"Moderate","Low"))))</f>
        <v/>
      </c>
      <c r="O4" s="9"/>
      <c r="P4" s="9"/>
      <c r="Q4" s="9"/>
      <c r="R4" s="9"/>
      <c r="S4" s="9"/>
      <c r="T4" s="9"/>
      <c r="U4" s="9"/>
      <c r="V4" s="9"/>
    </row>
    <row r="5" customFormat="false" ht="43.25" hidden="false" customHeight="false" outlineLevel="0" collapsed="false">
      <c r="A5" s="10" t="s">
        <v>80</v>
      </c>
      <c r="B5" s="10" t="s">
        <v>81</v>
      </c>
      <c r="C5" s="11" t="s">
        <v>63</v>
      </c>
      <c r="D5" s="10" t="s">
        <v>82</v>
      </c>
      <c r="E5" s="10" t="s">
        <v>83</v>
      </c>
      <c r="F5" s="10" t="s">
        <v>84</v>
      </c>
      <c r="G5" s="9"/>
      <c r="H5" s="9"/>
      <c r="I5" s="10" t="s">
        <v>85</v>
      </c>
      <c r="J5" s="9"/>
      <c r="K5" s="9"/>
      <c r="L5" s="9"/>
      <c r="M5" s="10" t="str">
        <f aca="false">IF(AND(K5&lt;&gt;"",L5&lt;&gt;""),K5*L5,"")</f>
        <v/>
      </c>
      <c r="N5" s="10" t="str">
        <f aca="false">IF(M5="","",IF(M5&gt;=20,"Critical",IF(M5&gt;=12,"High",IF(M5&gt;=6,"Moderate","Low"))))</f>
        <v/>
      </c>
      <c r="O5" s="9"/>
      <c r="P5" s="9"/>
      <c r="Q5" s="9"/>
      <c r="R5" s="9"/>
      <c r="S5" s="9"/>
      <c r="T5" s="9"/>
      <c r="U5" s="9"/>
      <c r="V5" s="9"/>
    </row>
    <row r="6" customFormat="false" ht="32.8" hidden="false" customHeight="false" outlineLevel="0" collapsed="false">
      <c r="A6" s="7" t="s">
        <v>86</v>
      </c>
      <c r="B6" s="7" t="s">
        <v>87</v>
      </c>
      <c r="C6" s="8" t="s">
        <v>63</v>
      </c>
      <c r="D6" s="7" t="s">
        <v>88</v>
      </c>
      <c r="E6" s="7" t="s">
        <v>89</v>
      </c>
      <c r="F6" s="7" t="s">
        <v>89</v>
      </c>
      <c r="G6" s="9"/>
      <c r="H6" s="9"/>
      <c r="I6" s="7" t="s">
        <v>90</v>
      </c>
      <c r="J6" s="9"/>
      <c r="K6" s="9"/>
      <c r="L6" s="9"/>
      <c r="M6" s="10" t="str">
        <f aca="false">IF(AND(K6&lt;&gt;"",L6&lt;&gt;""),K6*L6,"")</f>
        <v/>
      </c>
      <c r="N6" s="10" t="str">
        <f aca="false">IF(M6="","",IF(M6&gt;=20,"Critical",IF(M6&gt;=12,"High",IF(M6&gt;=6,"Moderate","Low"))))</f>
        <v/>
      </c>
      <c r="O6" s="9"/>
      <c r="P6" s="9"/>
      <c r="Q6" s="9"/>
      <c r="R6" s="9"/>
      <c r="S6" s="9"/>
      <c r="T6" s="9"/>
      <c r="U6" s="9"/>
      <c r="V6" s="9"/>
    </row>
    <row r="7" customFormat="false" ht="32.8" hidden="false" customHeight="false" outlineLevel="0" collapsed="false">
      <c r="A7" s="10" t="s">
        <v>91</v>
      </c>
      <c r="B7" s="10" t="s">
        <v>92</v>
      </c>
      <c r="C7" s="11" t="s">
        <v>63</v>
      </c>
      <c r="D7" s="10" t="s">
        <v>93</v>
      </c>
      <c r="E7" s="10" t="s">
        <v>89</v>
      </c>
      <c r="F7" s="10" t="s">
        <v>89</v>
      </c>
      <c r="G7" s="9"/>
      <c r="H7" s="9"/>
      <c r="I7" s="10" t="s">
        <v>94</v>
      </c>
      <c r="J7" s="9"/>
      <c r="K7" s="9"/>
      <c r="L7" s="9"/>
      <c r="M7" s="10" t="str">
        <f aca="false">IF(AND(K7&lt;&gt;"",L7&lt;&gt;""),K7*L7,"")</f>
        <v/>
      </c>
      <c r="N7" s="10" t="str">
        <f aca="false">IF(M7="","",IF(M7&gt;=20,"Critical",IF(M7&gt;=12,"High",IF(M7&gt;=6,"Moderate","Low"))))</f>
        <v/>
      </c>
      <c r="O7" s="9"/>
      <c r="P7" s="9"/>
      <c r="Q7" s="9"/>
      <c r="R7" s="9"/>
      <c r="S7" s="9"/>
      <c r="T7" s="9"/>
      <c r="U7" s="9"/>
      <c r="V7" s="9"/>
    </row>
    <row r="8" customFormat="false" ht="43.25" hidden="false" customHeight="false" outlineLevel="0" collapsed="false">
      <c r="A8" s="7" t="s">
        <v>95</v>
      </c>
      <c r="B8" s="7" t="s">
        <v>96</v>
      </c>
      <c r="C8" s="8" t="s">
        <v>63</v>
      </c>
      <c r="D8" s="7" t="s">
        <v>97</v>
      </c>
      <c r="E8" s="7" t="s">
        <v>98</v>
      </c>
      <c r="F8" s="7" t="s">
        <v>99</v>
      </c>
      <c r="G8" s="9"/>
      <c r="H8" s="9"/>
      <c r="I8" s="7" t="s">
        <v>100</v>
      </c>
      <c r="J8" s="9"/>
      <c r="K8" s="9"/>
      <c r="L8" s="9"/>
      <c r="M8" s="10" t="str">
        <f aca="false">IF(AND(K8&lt;&gt;"",L8&lt;&gt;""),K8*L8,"")</f>
        <v/>
      </c>
      <c r="N8" s="10" t="str">
        <f aca="false">IF(M8="","",IF(M8&gt;=20,"Critical",IF(M8&gt;=12,"High",IF(M8&gt;=6,"Moderate","Low"))))</f>
        <v/>
      </c>
      <c r="O8" s="9"/>
      <c r="P8" s="9"/>
      <c r="Q8" s="9"/>
      <c r="R8" s="9"/>
      <c r="S8" s="9"/>
      <c r="T8" s="9"/>
      <c r="U8" s="9"/>
      <c r="V8" s="9"/>
    </row>
    <row r="9" customFormat="false" ht="43.25" hidden="false" customHeight="false" outlineLevel="0" collapsed="false">
      <c r="A9" s="10" t="s">
        <v>101</v>
      </c>
      <c r="B9" s="10" t="s">
        <v>102</v>
      </c>
      <c r="C9" s="11" t="s">
        <v>63</v>
      </c>
      <c r="D9" s="10" t="s">
        <v>103</v>
      </c>
      <c r="E9" s="10" t="s">
        <v>104</v>
      </c>
      <c r="F9" s="10" t="s">
        <v>105</v>
      </c>
      <c r="G9" s="9"/>
      <c r="H9" s="9"/>
      <c r="I9" s="10" t="s">
        <v>106</v>
      </c>
      <c r="J9" s="9"/>
      <c r="K9" s="9"/>
      <c r="L9" s="9"/>
      <c r="M9" s="10" t="str">
        <f aca="false">IF(AND(K9&lt;&gt;"",L9&lt;&gt;""),K9*L9,"")</f>
        <v/>
      </c>
      <c r="N9" s="10" t="str">
        <f aca="false">IF(M9="","",IF(M9&gt;=20,"Critical",IF(M9&gt;=12,"High",IF(M9&gt;=6,"Moderate","Low"))))</f>
        <v/>
      </c>
      <c r="O9" s="9"/>
      <c r="P9" s="9"/>
      <c r="Q9" s="9"/>
      <c r="R9" s="9"/>
      <c r="S9" s="9"/>
      <c r="T9" s="9"/>
      <c r="U9" s="9"/>
      <c r="V9" s="9"/>
    </row>
    <row r="10" customFormat="false" ht="43.25" hidden="false" customHeight="false" outlineLevel="0" collapsed="false">
      <c r="A10" s="7" t="s">
        <v>107</v>
      </c>
      <c r="B10" s="7" t="s">
        <v>108</v>
      </c>
      <c r="C10" s="8" t="s">
        <v>63</v>
      </c>
      <c r="D10" s="7" t="s">
        <v>109</v>
      </c>
      <c r="E10" s="7" t="s">
        <v>110</v>
      </c>
      <c r="F10" s="7" t="s">
        <v>111</v>
      </c>
      <c r="G10" s="9"/>
      <c r="H10" s="9"/>
      <c r="I10" s="7" t="s">
        <v>112</v>
      </c>
      <c r="J10" s="9"/>
      <c r="K10" s="9"/>
      <c r="L10" s="9"/>
      <c r="M10" s="10" t="str">
        <f aca="false">IF(AND(K10&lt;&gt;"",L10&lt;&gt;""),K10*L10,"")</f>
        <v/>
      </c>
      <c r="N10" s="10" t="str">
        <f aca="false">IF(M10="","",IF(M10&gt;=20,"Critical",IF(M10&gt;=12,"High",IF(M10&gt;=6,"Moderate","Low"))))</f>
        <v/>
      </c>
      <c r="O10" s="9"/>
      <c r="P10" s="9"/>
      <c r="Q10" s="9"/>
      <c r="R10" s="9"/>
      <c r="S10" s="9"/>
      <c r="T10" s="9"/>
      <c r="U10" s="9"/>
      <c r="V10" s="9"/>
    </row>
    <row r="11" customFormat="false" ht="32.8" hidden="false" customHeight="false" outlineLevel="0" collapsed="false">
      <c r="A11" s="10" t="s">
        <v>113</v>
      </c>
      <c r="B11" s="10" t="s">
        <v>114</v>
      </c>
      <c r="C11" s="11" t="s">
        <v>63</v>
      </c>
      <c r="D11" s="10" t="s">
        <v>115</v>
      </c>
      <c r="E11" s="10" t="s">
        <v>116</v>
      </c>
      <c r="F11" s="10" t="s">
        <v>117</v>
      </c>
      <c r="G11" s="9"/>
      <c r="H11" s="9"/>
      <c r="I11" s="10" t="s">
        <v>118</v>
      </c>
      <c r="J11" s="9"/>
      <c r="K11" s="9"/>
      <c r="L11" s="9"/>
      <c r="M11" s="10" t="str">
        <f aca="false">IF(AND(K11&lt;&gt;"",L11&lt;&gt;""),K11*L11,"")</f>
        <v/>
      </c>
      <c r="N11" s="10" t="str">
        <f aca="false">IF(M11="","",IF(M11&gt;=20,"Critical",IF(M11&gt;=12,"High",IF(M11&gt;=6,"Moderate","Low"))))</f>
        <v/>
      </c>
      <c r="O11" s="9"/>
      <c r="P11" s="9"/>
      <c r="Q11" s="9"/>
      <c r="R11" s="9"/>
      <c r="S11" s="9"/>
      <c r="T11" s="9"/>
      <c r="U11" s="9"/>
      <c r="V11" s="9"/>
    </row>
    <row r="12" customFormat="false" ht="53.7" hidden="false" customHeight="false" outlineLevel="0" collapsed="false">
      <c r="A12" s="7" t="s">
        <v>119</v>
      </c>
      <c r="B12" s="7" t="s">
        <v>120</v>
      </c>
      <c r="C12" s="12" t="s">
        <v>121</v>
      </c>
      <c r="D12" s="7" t="s">
        <v>122</v>
      </c>
      <c r="E12" s="7" t="s">
        <v>123</v>
      </c>
      <c r="F12" s="7" t="s">
        <v>124</v>
      </c>
      <c r="G12" s="9"/>
      <c r="H12" s="9"/>
      <c r="I12" s="7" t="s">
        <v>125</v>
      </c>
      <c r="J12" s="9"/>
      <c r="K12" s="9"/>
      <c r="L12" s="9"/>
      <c r="M12" s="10" t="str">
        <f aca="false">IF(AND(K12&lt;&gt;"",L12&lt;&gt;""),K12*L12,"")</f>
        <v/>
      </c>
      <c r="N12" s="10" t="str">
        <f aca="false">IF(M12="","",IF(M12&gt;=20,"Critical",IF(M12&gt;=12,"High",IF(M12&gt;=6,"Moderate","Low"))))</f>
        <v/>
      </c>
      <c r="O12" s="9"/>
      <c r="P12" s="9"/>
      <c r="Q12" s="9"/>
      <c r="R12" s="9"/>
      <c r="S12" s="9"/>
      <c r="T12" s="9"/>
      <c r="U12" s="9"/>
      <c r="V12" s="9"/>
    </row>
    <row r="13" customFormat="false" ht="43.25" hidden="false" customHeight="false" outlineLevel="0" collapsed="false">
      <c r="A13" s="10" t="s">
        <v>126</v>
      </c>
      <c r="B13" s="10" t="s">
        <v>127</v>
      </c>
      <c r="C13" s="13" t="s">
        <v>121</v>
      </c>
      <c r="D13" s="10" t="s">
        <v>128</v>
      </c>
      <c r="E13" s="10" t="s">
        <v>129</v>
      </c>
      <c r="F13" s="10" t="s">
        <v>124</v>
      </c>
      <c r="G13" s="9"/>
      <c r="H13" s="9"/>
      <c r="I13" s="10" t="s">
        <v>130</v>
      </c>
      <c r="J13" s="9"/>
      <c r="K13" s="9"/>
      <c r="L13" s="9"/>
      <c r="M13" s="10" t="str">
        <f aca="false">IF(AND(K13&lt;&gt;"",L13&lt;&gt;""),K13*L13,"")</f>
        <v/>
      </c>
      <c r="N13" s="10" t="str">
        <f aca="false">IF(M13="","",IF(M13&gt;=20,"Critical",IF(M13&gt;=12,"High",IF(M13&gt;=6,"Moderate","Low"))))</f>
        <v/>
      </c>
      <c r="O13" s="9"/>
      <c r="P13" s="9"/>
      <c r="Q13" s="9"/>
      <c r="R13" s="9"/>
      <c r="S13" s="9"/>
      <c r="T13" s="9"/>
      <c r="U13" s="9"/>
      <c r="V13" s="9"/>
    </row>
    <row r="14" customFormat="false" ht="43.25" hidden="false" customHeight="false" outlineLevel="0" collapsed="false">
      <c r="A14" s="7" t="s">
        <v>131</v>
      </c>
      <c r="B14" s="7" t="s">
        <v>132</v>
      </c>
      <c r="C14" s="12" t="s">
        <v>121</v>
      </c>
      <c r="D14" s="7" t="s">
        <v>133</v>
      </c>
      <c r="E14" s="7" t="s">
        <v>134</v>
      </c>
      <c r="F14" s="7" t="s">
        <v>135</v>
      </c>
      <c r="G14" s="9"/>
      <c r="H14" s="9"/>
      <c r="I14" s="7" t="s">
        <v>136</v>
      </c>
      <c r="J14" s="9"/>
      <c r="K14" s="9"/>
      <c r="L14" s="9"/>
      <c r="M14" s="10" t="str">
        <f aca="false">IF(AND(K14&lt;&gt;"",L14&lt;&gt;""),K14*L14,"")</f>
        <v/>
      </c>
      <c r="N14" s="10" t="str">
        <f aca="false">IF(M14="","",IF(M14&gt;=20,"Critical",IF(M14&gt;=12,"High",IF(M14&gt;=6,"Moderate","Low"))))</f>
        <v/>
      </c>
      <c r="O14" s="9"/>
      <c r="P14" s="9"/>
      <c r="Q14" s="9"/>
      <c r="R14" s="9"/>
      <c r="S14" s="9"/>
      <c r="T14" s="9"/>
      <c r="U14" s="9"/>
      <c r="V14" s="9"/>
    </row>
    <row r="15" customFormat="false" ht="53.7" hidden="false" customHeight="false" outlineLevel="0" collapsed="false">
      <c r="A15" s="10" t="s">
        <v>137</v>
      </c>
      <c r="B15" s="10" t="s">
        <v>138</v>
      </c>
      <c r="C15" s="13" t="s">
        <v>121</v>
      </c>
      <c r="D15" s="10" t="s">
        <v>139</v>
      </c>
      <c r="E15" s="10" t="s">
        <v>89</v>
      </c>
      <c r="F15" s="10" t="s">
        <v>89</v>
      </c>
      <c r="G15" s="9"/>
      <c r="H15" s="9"/>
      <c r="I15" s="10" t="s">
        <v>140</v>
      </c>
      <c r="J15" s="9"/>
      <c r="K15" s="9"/>
      <c r="L15" s="9"/>
      <c r="M15" s="10" t="str">
        <f aca="false">IF(AND(K15&lt;&gt;"",L15&lt;&gt;""),K15*L15,"")</f>
        <v/>
      </c>
      <c r="N15" s="10" t="str">
        <f aca="false">IF(M15="","",IF(M15&gt;=20,"Critical",IF(M15&gt;=12,"High",IF(M15&gt;=6,"Moderate","Low"))))</f>
        <v/>
      </c>
      <c r="O15" s="9"/>
      <c r="P15" s="9"/>
      <c r="Q15" s="9"/>
      <c r="R15" s="9"/>
      <c r="S15" s="9"/>
      <c r="T15" s="9"/>
      <c r="U15" s="9"/>
      <c r="V15" s="9"/>
    </row>
    <row r="16" customFormat="false" ht="43.25" hidden="false" customHeight="false" outlineLevel="0" collapsed="false">
      <c r="A16" s="7" t="s">
        <v>141</v>
      </c>
      <c r="B16" s="7" t="s">
        <v>142</v>
      </c>
      <c r="C16" s="12" t="s">
        <v>121</v>
      </c>
      <c r="D16" s="7" t="s">
        <v>143</v>
      </c>
      <c r="E16" s="7" t="s">
        <v>71</v>
      </c>
      <c r="F16" s="7" t="s">
        <v>135</v>
      </c>
      <c r="G16" s="9"/>
      <c r="H16" s="9"/>
      <c r="I16" s="7" t="s">
        <v>144</v>
      </c>
      <c r="J16" s="9"/>
      <c r="K16" s="9"/>
      <c r="L16" s="9"/>
      <c r="M16" s="10" t="str">
        <f aca="false">IF(AND(K16&lt;&gt;"",L16&lt;&gt;""),K16*L16,"")</f>
        <v/>
      </c>
      <c r="N16" s="10" t="str">
        <f aca="false">IF(M16="","",IF(M16&gt;=20,"Critical",IF(M16&gt;=12,"High",IF(M16&gt;=6,"Moderate","Low"))))</f>
        <v/>
      </c>
      <c r="O16" s="9"/>
      <c r="P16" s="9"/>
      <c r="Q16" s="9"/>
      <c r="R16" s="9"/>
      <c r="S16" s="9"/>
      <c r="T16" s="9"/>
      <c r="U16" s="9"/>
      <c r="V16" s="9"/>
    </row>
    <row r="17" customFormat="false" ht="43.25" hidden="false" customHeight="false" outlineLevel="0" collapsed="false">
      <c r="A17" s="10" t="s">
        <v>145</v>
      </c>
      <c r="B17" s="10" t="s">
        <v>146</v>
      </c>
      <c r="C17" s="13" t="s">
        <v>121</v>
      </c>
      <c r="D17" s="10" t="s">
        <v>147</v>
      </c>
      <c r="E17" s="10" t="s">
        <v>89</v>
      </c>
      <c r="F17" s="10" t="s">
        <v>89</v>
      </c>
      <c r="G17" s="9"/>
      <c r="H17" s="9"/>
      <c r="I17" s="10" t="s">
        <v>148</v>
      </c>
      <c r="J17" s="9"/>
      <c r="K17" s="9"/>
      <c r="L17" s="9"/>
      <c r="M17" s="10" t="str">
        <f aca="false">IF(AND(K17&lt;&gt;"",L17&lt;&gt;""),K17*L17,"")</f>
        <v/>
      </c>
      <c r="N17" s="10" t="str">
        <f aca="false">IF(M17="","",IF(M17&gt;=20,"Critical",IF(M17&gt;=12,"High",IF(M17&gt;=6,"Moderate","Low"))))</f>
        <v/>
      </c>
      <c r="O17" s="9"/>
      <c r="P17" s="9"/>
      <c r="Q17" s="9"/>
      <c r="R17" s="9"/>
      <c r="S17" s="9"/>
      <c r="T17" s="9"/>
      <c r="U17" s="9"/>
      <c r="V17" s="9"/>
    </row>
    <row r="18" customFormat="false" ht="43.25" hidden="false" customHeight="false" outlineLevel="0" collapsed="false">
      <c r="A18" s="7" t="s">
        <v>149</v>
      </c>
      <c r="B18" s="7" t="s">
        <v>150</v>
      </c>
      <c r="C18" s="12" t="s">
        <v>121</v>
      </c>
      <c r="D18" s="7" t="s">
        <v>151</v>
      </c>
      <c r="E18" s="7" t="s">
        <v>123</v>
      </c>
      <c r="F18" s="7" t="s">
        <v>89</v>
      </c>
      <c r="G18" s="9"/>
      <c r="H18" s="9"/>
      <c r="I18" s="7" t="s">
        <v>152</v>
      </c>
      <c r="J18" s="9"/>
      <c r="K18" s="9"/>
      <c r="L18" s="9"/>
      <c r="M18" s="10" t="str">
        <f aca="false">IF(AND(K18&lt;&gt;"",L18&lt;&gt;""),K18*L18,"")</f>
        <v/>
      </c>
      <c r="N18" s="10" t="str">
        <f aca="false">IF(M18="","",IF(M18&gt;=20,"Critical",IF(M18&gt;=12,"High",IF(M18&gt;=6,"Moderate","Low"))))</f>
        <v/>
      </c>
      <c r="O18" s="9"/>
      <c r="P18" s="9"/>
      <c r="Q18" s="9"/>
      <c r="R18" s="9"/>
      <c r="S18" s="9"/>
      <c r="T18" s="9"/>
      <c r="U18" s="9"/>
      <c r="V18" s="9"/>
    </row>
    <row r="19" customFormat="false" ht="43.25" hidden="false" customHeight="false" outlineLevel="0" collapsed="false">
      <c r="A19" s="10" t="s">
        <v>153</v>
      </c>
      <c r="B19" s="10" t="s">
        <v>154</v>
      </c>
      <c r="C19" s="13" t="s">
        <v>121</v>
      </c>
      <c r="D19" s="10" t="s">
        <v>155</v>
      </c>
      <c r="E19" s="10" t="s">
        <v>89</v>
      </c>
      <c r="F19" s="10" t="s">
        <v>89</v>
      </c>
      <c r="G19" s="9"/>
      <c r="H19" s="9"/>
      <c r="I19" s="10" t="s">
        <v>156</v>
      </c>
      <c r="J19" s="9"/>
      <c r="K19" s="9"/>
      <c r="L19" s="9"/>
      <c r="M19" s="10" t="str">
        <f aca="false">IF(AND(K19&lt;&gt;"",L19&lt;&gt;""),K19*L19,"")</f>
        <v/>
      </c>
      <c r="N19" s="10" t="str">
        <f aca="false">IF(M19="","",IF(M19&gt;=20,"Critical",IF(M19&gt;=12,"High",IF(M19&gt;=6,"Moderate","Low"))))</f>
        <v/>
      </c>
      <c r="O19" s="9"/>
      <c r="P19" s="9"/>
      <c r="Q19" s="9"/>
      <c r="R19" s="9"/>
      <c r="S19" s="9"/>
      <c r="T19" s="9"/>
      <c r="U19" s="9"/>
      <c r="V19" s="9"/>
    </row>
    <row r="20" customFormat="false" ht="43.25" hidden="false" customHeight="false" outlineLevel="0" collapsed="false">
      <c r="A20" s="7" t="s">
        <v>157</v>
      </c>
      <c r="B20" s="7" t="s">
        <v>158</v>
      </c>
      <c r="C20" s="14" t="s">
        <v>159</v>
      </c>
      <c r="D20" s="7" t="s">
        <v>160</v>
      </c>
      <c r="E20" s="7" t="s">
        <v>161</v>
      </c>
      <c r="F20" s="7" t="s">
        <v>162</v>
      </c>
      <c r="G20" s="9"/>
      <c r="H20" s="9"/>
      <c r="I20" s="7" t="s">
        <v>163</v>
      </c>
      <c r="J20" s="9"/>
      <c r="K20" s="9"/>
      <c r="L20" s="9"/>
      <c r="M20" s="10" t="str">
        <f aca="false">IF(AND(K20&lt;&gt;"",L20&lt;&gt;""),K20*L20,"")</f>
        <v/>
      </c>
      <c r="N20" s="10" t="str">
        <f aca="false">IF(M20="","",IF(M20&gt;=20,"Critical",IF(M20&gt;=12,"High",IF(M20&gt;=6,"Moderate","Low"))))</f>
        <v/>
      </c>
      <c r="O20" s="9"/>
      <c r="P20" s="9"/>
      <c r="Q20" s="9"/>
      <c r="R20" s="9"/>
      <c r="S20" s="9"/>
      <c r="T20" s="9"/>
      <c r="U20" s="9"/>
      <c r="V20" s="9"/>
    </row>
    <row r="21" customFormat="false" ht="32.8" hidden="false" customHeight="false" outlineLevel="0" collapsed="false">
      <c r="A21" s="10" t="s">
        <v>164</v>
      </c>
      <c r="B21" s="10" t="s">
        <v>165</v>
      </c>
      <c r="C21" s="15" t="s">
        <v>159</v>
      </c>
      <c r="D21" s="10" t="s">
        <v>166</v>
      </c>
      <c r="E21" s="10" t="s">
        <v>167</v>
      </c>
      <c r="F21" s="10" t="s">
        <v>168</v>
      </c>
      <c r="G21" s="9"/>
      <c r="H21" s="9"/>
      <c r="I21" s="10" t="s">
        <v>169</v>
      </c>
      <c r="J21" s="9"/>
      <c r="K21" s="9"/>
      <c r="L21" s="9"/>
      <c r="M21" s="10" t="str">
        <f aca="false">IF(AND(K21&lt;&gt;"",L21&lt;&gt;""),K21*L21,"")</f>
        <v/>
      </c>
      <c r="N21" s="10" t="str">
        <f aca="false">IF(M21="","",IF(M21&gt;=20,"Critical",IF(M21&gt;=12,"High",IF(M21&gt;=6,"Moderate","Low"))))</f>
        <v/>
      </c>
      <c r="O21" s="9"/>
      <c r="P21" s="9"/>
      <c r="Q21" s="9"/>
      <c r="R21" s="9"/>
      <c r="S21" s="9"/>
      <c r="T21" s="9"/>
      <c r="U21" s="9"/>
      <c r="V21" s="9"/>
    </row>
    <row r="22" customFormat="false" ht="43.25" hidden="false" customHeight="false" outlineLevel="0" collapsed="false">
      <c r="A22" s="7" t="s">
        <v>170</v>
      </c>
      <c r="B22" s="7" t="s">
        <v>171</v>
      </c>
      <c r="C22" s="14" t="s">
        <v>159</v>
      </c>
      <c r="D22" s="7" t="s">
        <v>172</v>
      </c>
      <c r="E22" s="7" t="s">
        <v>89</v>
      </c>
      <c r="F22" s="7" t="s">
        <v>89</v>
      </c>
      <c r="G22" s="9"/>
      <c r="H22" s="9"/>
      <c r="I22" s="7" t="s">
        <v>173</v>
      </c>
      <c r="J22" s="9"/>
      <c r="K22" s="9"/>
      <c r="L22" s="9"/>
      <c r="M22" s="10" t="str">
        <f aca="false">IF(AND(K22&lt;&gt;"",L22&lt;&gt;""),K22*L22,"")</f>
        <v/>
      </c>
      <c r="N22" s="10" t="str">
        <f aca="false">IF(M22="","",IF(M22&gt;=20,"Critical",IF(M22&gt;=12,"High",IF(M22&gt;=6,"Moderate","Low"))))</f>
        <v/>
      </c>
      <c r="O22" s="9"/>
      <c r="P22" s="9"/>
      <c r="Q22" s="9"/>
      <c r="R22" s="9"/>
      <c r="S22" s="9"/>
      <c r="T22" s="9"/>
      <c r="U22" s="9"/>
      <c r="V22" s="9"/>
    </row>
    <row r="23" customFormat="false" ht="43.25" hidden="false" customHeight="false" outlineLevel="0" collapsed="false">
      <c r="A23" s="10" t="s">
        <v>174</v>
      </c>
      <c r="B23" s="10" t="s">
        <v>175</v>
      </c>
      <c r="C23" s="15" t="s">
        <v>159</v>
      </c>
      <c r="D23" s="10" t="s">
        <v>176</v>
      </c>
      <c r="E23" s="10" t="s">
        <v>177</v>
      </c>
      <c r="F23" s="10" t="s">
        <v>178</v>
      </c>
      <c r="G23" s="9"/>
      <c r="H23" s="9"/>
      <c r="I23" s="10" t="s">
        <v>179</v>
      </c>
      <c r="J23" s="9"/>
      <c r="K23" s="9"/>
      <c r="L23" s="9"/>
      <c r="M23" s="10" t="str">
        <f aca="false">IF(AND(K23&lt;&gt;"",L23&lt;&gt;""),K23*L23,"")</f>
        <v/>
      </c>
      <c r="N23" s="10" t="str">
        <f aca="false">IF(M23="","",IF(M23&gt;=20,"Critical",IF(M23&gt;=12,"High",IF(M23&gt;=6,"Moderate","Low"))))</f>
        <v/>
      </c>
      <c r="O23" s="9"/>
      <c r="P23" s="9"/>
      <c r="Q23" s="9"/>
      <c r="R23" s="9"/>
      <c r="S23" s="9"/>
      <c r="T23" s="9"/>
      <c r="U23" s="9"/>
      <c r="V23" s="9"/>
    </row>
    <row r="24" customFormat="false" ht="32.8" hidden="false" customHeight="false" outlineLevel="0" collapsed="false">
      <c r="A24" s="7" t="s">
        <v>180</v>
      </c>
      <c r="B24" s="7" t="s">
        <v>181</v>
      </c>
      <c r="C24" s="14" t="s">
        <v>159</v>
      </c>
      <c r="D24" s="7" t="s">
        <v>182</v>
      </c>
      <c r="E24" s="7" t="s">
        <v>183</v>
      </c>
      <c r="F24" s="7" t="s">
        <v>168</v>
      </c>
      <c r="G24" s="9"/>
      <c r="H24" s="9"/>
      <c r="I24" s="7" t="s">
        <v>184</v>
      </c>
      <c r="J24" s="9"/>
      <c r="K24" s="9"/>
      <c r="L24" s="9"/>
      <c r="M24" s="10" t="str">
        <f aca="false">IF(AND(K24&lt;&gt;"",L24&lt;&gt;""),K24*L24,"")</f>
        <v/>
      </c>
      <c r="N24" s="10" t="str">
        <f aca="false">IF(M24="","",IF(M24&gt;=20,"Critical",IF(M24&gt;=12,"High",IF(M24&gt;=6,"Moderate","Low"))))</f>
        <v/>
      </c>
      <c r="O24" s="9"/>
      <c r="P24" s="9"/>
      <c r="Q24" s="9"/>
      <c r="R24" s="9"/>
      <c r="S24" s="9"/>
      <c r="T24" s="9"/>
      <c r="U24" s="9"/>
      <c r="V24" s="9"/>
    </row>
    <row r="25" customFormat="false" ht="43.25" hidden="false" customHeight="false" outlineLevel="0" collapsed="false">
      <c r="A25" s="10" t="s">
        <v>185</v>
      </c>
      <c r="B25" s="10" t="s">
        <v>186</v>
      </c>
      <c r="C25" s="15" t="s">
        <v>159</v>
      </c>
      <c r="D25" s="10" t="s">
        <v>187</v>
      </c>
      <c r="E25" s="10" t="s">
        <v>167</v>
      </c>
      <c r="F25" s="10" t="s">
        <v>89</v>
      </c>
      <c r="G25" s="9"/>
      <c r="H25" s="9"/>
      <c r="I25" s="10" t="s">
        <v>188</v>
      </c>
      <c r="J25" s="9"/>
      <c r="K25" s="9"/>
      <c r="L25" s="9"/>
      <c r="M25" s="10" t="str">
        <f aca="false">IF(AND(K25&lt;&gt;"",L25&lt;&gt;""),K25*L25,"")</f>
        <v/>
      </c>
      <c r="N25" s="10" t="str">
        <f aca="false">IF(M25="","",IF(M25&gt;=20,"Critical",IF(M25&gt;=12,"High",IF(M25&gt;=6,"Moderate","Low"))))</f>
        <v/>
      </c>
      <c r="O25" s="9"/>
      <c r="P25" s="9"/>
      <c r="Q25" s="9"/>
      <c r="R25" s="9"/>
      <c r="S25" s="9"/>
      <c r="T25" s="9"/>
      <c r="U25" s="9"/>
      <c r="V25" s="9"/>
    </row>
    <row r="26" customFormat="false" ht="43.25" hidden="false" customHeight="false" outlineLevel="0" collapsed="false">
      <c r="A26" s="7" t="s">
        <v>189</v>
      </c>
      <c r="B26" s="7" t="s">
        <v>190</v>
      </c>
      <c r="C26" s="16" t="s">
        <v>191</v>
      </c>
      <c r="D26" s="7" t="s">
        <v>192</v>
      </c>
      <c r="E26" s="7" t="s">
        <v>89</v>
      </c>
      <c r="F26" s="7" t="s">
        <v>89</v>
      </c>
      <c r="G26" s="9"/>
      <c r="H26" s="9"/>
      <c r="I26" s="7" t="s">
        <v>193</v>
      </c>
      <c r="J26" s="9"/>
      <c r="K26" s="9"/>
      <c r="L26" s="9"/>
      <c r="M26" s="10" t="str">
        <f aca="false">IF(AND(K26&lt;&gt;"",L26&lt;&gt;""),K26*L26,"")</f>
        <v/>
      </c>
      <c r="N26" s="10" t="str">
        <f aca="false">IF(M26="","",IF(M26&gt;=20,"Critical",IF(M26&gt;=12,"High",IF(M26&gt;=6,"Moderate","Low"))))</f>
        <v/>
      </c>
      <c r="O26" s="9"/>
      <c r="P26" s="9"/>
      <c r="Q26" s="9"/>
      <c r="R26" s="9"/>
      <c r="S26" s="9"/>
      <c r="T26" s="9"/>
      <c r="U26" s="9"/>
      <c r="V26" s="9"/>
    </row>
    <row r="27" customFormat="false" ht="43.25" hidden="false" customHeight="false" outlineLevel="0" collapsed="false">
      <c r="A27" s="10" t="s">
        <v>194</v>
      </c>
      <c r="B27" s="10" t="s">
        <v>195</v>
      </c>
      <c r="C27" s="17" t="s">
        <v>191</v>
      </c>
      <c r="D27" s="10" t="s">
        <v>196</v>
      </c>
      <c r="E27" s="10" t="s">
        <v>89</v>
      </c>
      <c r="F27" s="10" t="s">
        <v>89</v>
      </c>
      <c r="G27" s="9"/>
      <c r="H27" s="9"/>
      <c r="I27" s="10" t="s">
        <v>197</v>
      </c>
      <c r="J27" s="9"/>
      <c r="K27" s="9"/>
      <c r="L27" s="9"/>
      <c r="M27" s="10" t="str">
        <f aca="false">IF(AND(K27&lt;&gt;"",L27&lt;&gt;""),K27*L27,"")</f>
        <v/>
      </c>
      <c r="N27" s="10" t="str">
        <f aca="false">IF(M27="","",IF(M27&gt;=20,"Critical",IF(M27&gt;=12,"High",IF(M27&gt;=6,"Moderate","Low"))))</f>
        <v/>
      </c>
      <c r="O27" s="9"/>
      <c r="P27" s="9"/>
      <c r="Q27" s="9"/>
      <c r="R27" s="9"/>
      <c r="S27" s="9"/>
      <c r="T27" s="9"/>
      <c r="U27" s="9"/>
      <c r="V27" s="9"/>
    </row>
    <row r="28" customFormat="false" ht="43.25" hidden="false" customHeight="false" outlineLevel="0" collapsed="false">
      <c r="A28" s="7" t="s">
        <v>198</v>
      </c>
      <c r="B28" s="7" t="s">
        <v>199</v>
      </c>
      <c r="C28" s="16" t="s">
        <v>191</v>
      </c>
      <c r="D28" s="7" t="s">
        <v>200</v>
      </c>
      <c r="E28" s="7" t="s">
        <v>89</v>
      </c>
      <c r="F28" s="7" t="s">
        <v>89</v>
      </c>
      <c r="G28" s="9"/>
      <c r="H28" s="9"/>
      <c r="I28" s="7" t="s">
        <v>201</v>
      </c>
      <c r="J28" s="9"/>
      <c r="K28" s="9"/>
      <c r="L28" s="9"/>
      <c r="M28" s="10" t="str">
        <f aca="false">IF(AND(K28&lt;&gt;"",L28&lt;&gt;""),K28*L28,"")</f>
        <v/>
      </c>
      <c r="N28" s="10" t="str">
        <f aca="false">IF(M28="","",IF(M28&gt;=20,"Critical",IF(M28&gt;=12,"High",IF(M28&gt;=6,"Moderate","Low"))))</f>
        <v/>
      </c>
      <c r="O28" s="9"/>
      <c r="P28" s="9"/>
      <c r="Q28" s="9"/>
      <c r="R28" s="9"/>
      <c r="S28" s="9"/>
      <c r="T28" s="9"/>
      <c r="U28" s="9"/>
      <c r="V28" s="9"/>
    </row>
    <row r="29" customFormat="false" ht="43.25" hidden="false" customHeight="false" outlineLevel="0" collapsed="false">
      <c r="A29" s="10" t="s">
        <v>202</v>
      </c>
      <c r="B29" s="10" t="s">
        <v>203</v>
      </c>
      <c r="C29" s="17" t="s">
        <v>191</v>
      </c>
      <c r="D29" s="10" t="s">
        <v>204</v>
      </c>
      <c r="E29" s="10" t="s">
        <v>123</v>
      </c>
      <c r="F29" s="10" t="s">
        <v>89</v>
      </c>
      <c r="G29" s="9"/>
      <c r="H29" s="9"/>
      <c r="I29" s="10" t="s">
        <v>205</v>
      </c>
      <c r="J29" s="9"/>
      <c r="K29" s="9"/>
      <c r="L29" s="9"/>
      <c r="M29" s="10" t="str">
        <f aca="false">IF(AND(K29&lt;&gt;"",L29&lt;&gt;""),K29*L29,"")</f>
        <v/>
      </c>
      <c r="N29" s="10" t="str">
        <f aca="false">IF(M29="","",IF(M29&gt;=20,"Critical",IF(M29&gt;=12,"High",IF(M29&gt;=6,"Moderate","Low"))))</f>
        <v/>
      </c>
      <c r="O29" s="9"/>
      <c r="P29" s="9"/>
      <c r="Q29" s="9"/>
      <c r="R29" s="9"/>
      <c r="S29" s="9"/>
      <c r="T29" s="9"/>
      <c r="U29" s="9"/>
      <c r="V29" s="9"/>
    </row>
    <row r="30" customFormat="false" ht="43.25" hidden="false" customHeight="false" outlineLevel="0" collapsed="false">
      <c r="A30" s="7" t="s">
        <v>206</v>
      </c>
      <c r="B30" s="7" t="s">
        <v>207</v>
      </c>
      <c r="C30" s="16" t="s">
        <v>191</v>
      </c>
      <c r="D30" s="7" t="s">
        <v>208</v>
      </c>
      <c r="E30" s="7" t="s">
        <v>89</v>
      </c>
      <c r="F30" s="7" t="s">
        <v>89</v>
      </c>
      <c r="G30" s="9"/>
      <c r="H30" s="9"/>
      <c r="I30" s="7" t="s">
        <v>209</v>
      </c>
      <c r="J30" s="9"/>
      <c r="K30" s="9"/>
      <c r="L30" s="9"/>
      <c r="M30" s="10" t="str">
        <f aca="false">IF(AND(K30&lt;&gt;"",L30&lt;&gt;""),K30*L30,"")</f>
        <v/>
      </c>
      <c r="N30" s="10" t="str">
        <f aca="false">IF(M30="","",IF(M30&gt;=20,"Critical",IF(M30&gt;=12,"High",IF(M30&gt;=6,"Moderate","Low"))))</f>
        <v/>
      </c>
      <c r="O30" s="9"/>
      <c r="P30" s="9"/>
      <c r="Q30" s="9"/>
      <c r="R30" s="9"/>
      <c r="S30" s="9"/>
      <c r="T30" s="9"/>
      <c r="U30" s="9"/>
      <c r="V30" s="9"/>
    </row>
    <row r="31" customFormat="false" ht="43.25" hidden="false" customHeight="false" outlineLevel="0" collapsed="false">
      <c r="A31" s="10" t="s">
        <v>210</v>
      </c>
      <c r="B31" s="10" t="s">
        <v>211</v>
      </c>
      <c r="C31" s="17" t="s">
        <v>191</v>
      </c>
      <c r="D31" s="10" t="s">
        <v>212</v>
      </c>
      <c r="E31" s="10" t="s">
        <v>89</v>
      </c>
      <c r="F31" s="10" t="s">
        <v>89</v>
      </c>
      <c r="G31" s="9"/>
      <c r="H31" s="9"/>
      <c r="I31" s="10" t="s">
        <v>213</v>
      </c>
      <c r="J31" s="9"/>
      <c r="K31" s="9"/>
      <c r="L31" s="9"/>
      <c r="M31" s="10" t="str">
        <f aca="false">IF(AND(K31&lt;&gt;"",L31&lt;&gt;""),K31*L31,"")</f>
        <v/>
      </c>
      <c r="N31" s="10" t="str">
        <f aca="false">IF(M31="","",IF(M31&gt;=20,"Critical",IF(M31&gt;=12,"High",IF(M31&gt;=6,"Moderate","Low"))))</f>
        <v/>
      </c>
      <c r="O31" s="9"/>
      <c r="P31" s="9"/>
      <c r="Q31" s="9"/>
      <c r="R31" s="9"/>
      <c r="S31" s="9"/>
      <c r="T31" s="9"/>
      <c r="U31" s="9"/>
      <c r="V31" s="9"/>
    </row>
    <row r="32" customFormat="false" ht="43.25" hidden="false" customHeight="false" outlineLevel="0" collapsed="false">
      <c r="A32" s="7" t="s">
        <v>214</v>
      </c>
      <c r="B32" s="7" t="s">
        <v>215</v>
      </c>
      <c r="C32" s="16" t="s">
        <v>191</v>
      </c>
      <c r="D32" s="7" t="s">
        <v>216</v>
      </c>
      <c r="E32" s="7" t="s">
        <v>89</v>
      </c>
      <c r="F32" s="7" t="s">
        <v>89</v>
      </c>
      <c r="G32" s="9"/>
      <c r="H32" s="9"/>
      <c r="I32" s="7" t="s">
        <v>217</v>
      </c>
      <c r="J32" s="9"/>
      <c r="K32" s="9"/>
      <c r="L32" s="9"/>
      <c r="M32" s="10" t="str">
        <f aca="false">IF(AND(K32&lt;&gt;"",L32&lt;&gt;""),K32*L32,"")</f>
        <v/>
      </c>
      <c r="N32" s="10" t="str">
        <f aca="false">IF(M32="","",IF(M32&gt;=20,"Critical",IF(M32&gt;=12,"High",IF(M32&gt;=6,"Moderate","Low"))))</f>
        <v/>
      </c>
      <c r="O32" s="9"/>
      <c r="P32" s="9"/>
      <c r="Q32" s="9"/>
      <c r="R32" s="9"/>
      <c r="S32" s="9"/>
      <c r="T32" s="9"/>
      <c r="U32" s="9"/>
      <c r="V32" s="9"/>
    </row>
    <row r="33" customFormat="false" ht="43.25" hidden="false" customHeight="false" outlineLevel="0" collapsed="false">
      <c r="A33" s="10" t="s">
        <v>218</v>
      </c>
      <c r="B33" s="10" t="s">
        <v>219</v>
      </c>
      <c r="C33" s="17" t="s">
        <v>191</v>
      </c>
      <c r="D33" s="10" t="s">
        <v>220</v>
      </c>
      <c r="E33" s="10" t="s">
        <v>89</v>
      </c>
      <c r="F33" s="10" t="s">
        <v>89</v>
      </c>
      <c r="G33" s="9"/>
      <c r="H33" s="9"/>
      <c r="I33" s="10" t="s">
        <v>221</v>
      </c>
      <c r="J33" s="9"/>
      <c r="K33" s="9"/>
      <c r="L33" s="9"/>
      <c r="M33" s="10" t="str">
        <f aca="false">IF(AND(K33&lt;&gt;"",L33&lt;&gt;""),K33*L33,"")</f>
        <v/>
      </c>
      <c r="N33" s="10" t="str">
        <f aca="false">IF(M33="","",IF(M33&gt;=20,"Critical",IF(M33&gt;=12,"High",IF(M33&gt;=6,"Moderate","Low"))))</f>
        <v/>
      </c>
      <c r="O33" s="9"/>
      <c r="P33" s="9"/>
      <c r="Q33" s="9"/>
      <c r="R33" s="9"/>
      <c r="S33" s="9"/>
      <c r="T33" s="9"/>
      <c r="U33" s="9"/>
      <c r="V33" s="9"/>
    </row>
    <row r="34" customFormat="false" ht="43.25" hidden="false" customHeight="false" outlineLevel="0" collapsed="false">
      <c r="A34" s="7" t="s">
        <v>222</v>
      </c>
      <c r="B34" s="7" t="s">
        <v>223</v>
      </c>
      <c r="C34" s="18" t="s">
        <v>224</v>
      </c>
      <c r="D34" s="7" t="s">
        <v>225</v>
      </c>
      <c r="E34" s="7" t="s">
        <v>226</v>
      </c>
      <c r="F34" s="7" t="s">
        <v>227</v>
      </c>
      <c r="G34" s="9"/>
      <c r="H34" s="9"/>
      <c r="I34" s="7" t="s">
        <v>228</v>
      </c>
      <c r="J34" s="9"/>
      <c r="K34" s="9"/>
      <c r="L34" s="9"/>
      <c r="M34" s="10" t="str">
        <f aca="false">IF(AND(K34&lt;&gt;"",L34&lt;&gt;""),K34*L34,"")</f>
        <v/>
      </c>
      <c r="N34" s="10" t="str">
        <f aca="false">IF(M34="","",IF(M34&gt;=20,"Critical",IF(M34&gt;=12,"High",IF(M34&gt;=6,"Moderate","Low"))))</f>
        <v/>
      </c>
      <c r="O34" s="9"/>
      <c r="P34" s="9"/>
      <c r="Q34" s="9"/>
      <c r="R34" s="9"/>
      <c r="S34" s="9"/>
      <c r="T34" s="9"/>
      <c r="U34" s="9"/>
      <c r="V34" s="9"/>
    </row>
    <row r="35" customFormat="false" ht="43.25" hidden="false" customHeight="false" outlineLevel="0" collapsed="false">
      <c r="A35" s="10" t="s">
        <v>229</v>
      </c>
      <c r="B35" s="10" t="s">
        <v>230</v>
      </c>
      <c r="C35" s="19" t="s">
        <v>224</v>
      </c>
      <c r="D35" s="10" t="s">
        <v>231</v>
      </c>
      <c r="E35" s="10" t="s">
        <v>89</v>
      </c>
      <c r="F35" s="10" t="s">
        <v>89</v>
      </c>
      <c r="G35" s="9"/>
      <c r="H35" s="9"/>
      <c r="I35" s="10" t="s">
        <v>232</v>
      </c>
      <c r="J35" s="9"/>
      <c r="K35" s="9"/>
      <c r="L35" s="9"/>
      <c r="M35" s="10" t="str">
        <f aca="false">IF(AND(K35&lt;&gt;"",L35&lt;&gt;""),K35*L35,"")</f>
        <v/>
      </c>
      <c r="N35" s="10" t="str">
        <f aca="false">IF(M35="","",IF(M35&gt;=20,"Critical",IF(M35&gt;=12,"High",IF(M35&gt;=6,"Moderate","Low"))))</f>
        <v/>
      </c>
      <c r="O35" s="9"/>
      <c r="P35" s="9"/>
      <c r="Q35" s="9"/>
      <c r="R35" s="9"/>
      <c r="S35" s="9"/>
      <c r="T35" s="9"/>
      <c r="U35" s="9"/>
      <c r="V35" s="9"/>
    </row>
    <row r="36" customFormat="false" ht="43.25" hidden="false" customHeight="false" outlineLevel="0" collapsed="false">
      <c r="A36" s="7" t="s">
        <v>233</v>
      </c>
      <c r="B36" s="7" t="s">
        <v>234</v>
      </c>
      <c r="C36" s="18" t="s">
        <v>224</v>
      </c>
      <c r="D36" s="7" t="s">
        <v>235</v>
      </c>
      <c r="E36" s="7" t="s">
        <v>89</v>
      </c>
      <c r="F36" s="7" t="s">
        <v>89</v>
      </c>
      <c r="G36" s="9"/>
      <c r="H36" s="9"/>
      <c r="I36" s="7" t="s">
        <v>236</v>
      </c>
      <c r="J36" s="9"/>
      <c r="K36" s="9"/>
      <c r="L36" s="9"/>
      <c r="M36" s="10" t="str">
        <f aca="false">IF(AND(K36&lt;&gt;"",L36&lt;&gt;""),K36*L36,"")</f>
        <v/>
      </c>
      <c r="N36" s="10" t="str">
        <f aca="false">IF(M36="","",IF(M36&gt;=20,"Critical",IF(M36&gt;=12,"High",IF(M36&gt;=6,"Moderate","Low"))))</f>
        <v/>
      </c>
      <c r="O36" s="9"/>
      <c r="P36" s="9"/>
      <c r="Q36" s="9"/>
      <c r="R36" s="9"/>
      <c r="S36" s="9"/>
      <c r="T36" s="9"/>
      <c r="U36" s="9"/>
      <c r="V36" s="9"/>
    </row>
    <row r="37" customFormat="false" ht="43.25" hidden="false" customHeight="false" outlineLevel="0" collapsed="false">
      <c r="A37" s="10" t="s">
        <v>237</v>
      </c>
      <c r="B37" s="10" t="s">
        <v>238</v>
      </c>
      <c r="C37" s="19" t="s">
        <v>224</v>
      </c>
      <c r="D37" s="10" t="s">
        <v>239</v>
      </c>
      <c r="E37" s="10" t="s">
        <v>240</v>
      </c>
      <c r="F37" s="10" t="s">
        <v>241</v>
      </c>
      <c r="G37" s="9"/>
      <c r="H37" s="9"/>
      <c r="I37" s="10" t="s">
        <v>242</v>
      </c>
      <c r="J37" s="9"/>
      <c r="K37" s="9"/>
      <c r="L37" s="9"/>
      <c r="M37" s="10" t="str">
        <f aca="false">IF(AND(K37&lt;&gt;"",L37&lt;&gt;""),K37*L37,"")</f>
        <v/>
      </c>
      <c r="N37" s="10" t="str">
        <f aca="false">IF(M37="","",IF(M37&gt;=20,"Critical",IF(M37&gt;=12,"High",IF(M37&gt;=6,"Moderate","Low"))))</f>
        <v/>
      </c>
      <c r="O37" s="9"/>
      <c r="P37" s="9"/>
      <c r="Q37" s="9"/>
      <c r="R37" s="9"/>
      <c r="S37" s="9"/>
      <c r="T37" s="9"/>
      <c r="U37" s="9"/>
      <c r="V37" s="9"/>
    </row>
    <row r="38" customFormat="false" ht="43.25" hidden="false" customHeight="false" outlineLevel="0" collapsed="false">
      <c r="A38" s="7" t="s">
        <v>243</v>
      </c>
      <c r="B38" s="7" t="s">
        <v>244</v>
      </c>
      <c r="C38" s="18" t="s">
        <v>224</v>
      </c>
      <c r="D38" s="7" t="s">
        <v>245</v>
      </c>
      <c r="E38" s="7" t="s">
        <v>246</v>
      </c>
      <c r="F38" s="7" t="s">
        <v>247</v>
      </c>
      <c r="G38" s="9"/>
      <c r="H38" s="9"/>
      <c r="I38" s="7" t="s">
        <v>248</v>
      </c>
      <c r="J38" s="9"/>
      <c r="K38" s="9"/>
      <c r="L38" s="9"/>
      <c r="M38" s="10" t="str">
        <f aca="false">IF(AND(K38&lt;&gt;"",L38&lt;&gt;""),K38*L38,"")</f>
        <v/>
      </c>
      <c r="N38" s="10" t="str">
        <f aca="false">IF(M38="","",IF(M38&gt;=20,"Critical",IF(M38&gt;=12,"High",IF(M38&gt;=6,"Moderate","Low"))))</f>
        <v/>
      </c>
      <c r="O38" s="9"/>
      <c r="P38" s="9"/>
      <c r="Q38" s="9"/>
      <c r="R38" s="9"/>
      <c r="S38" s="9"/>
      <c r="T38" s="9"/>
      <c r="U38" s="9"/>
      <c r="V38" s="9"/>
    </row>
    <row r="39" customFormat="false" ht="43.25" hidden="false" customHeight="false" outlineLevel="0" collapsed="false">
      <c r="A39" s="10" t="s">
        <v>249</v>
      </c>
      <c r="B39" s="10" t="s">
        <v>250</v>
      </c>
      <c r="C39" s="19" t="s">
        <v>224</v>
      </c>
      <c r="D39" s="10" t="s">
        <v>251</v>
      </c>
      <c r="E39" s="10" t="s">
        <v>71</v>
      </c>
      <c r="F39" s="10" t="s">
        <v>135</v>
      </c>
      <c r="G39" s="9"/>
      <c r="H39" s="9"/>
      <c r="I39" s="10" t="s">
        <v>252</v>
      </c>
      <c r="J39" s="9"/>
      <c r="K39" s="9"/>
      <c r="L39" s="9"/>
      <c r="M39" s="10" t="str">
        <f aca="false">IF(AND(K39&lt;&gt;"",L39&lt;&gt;""),K39*L39,"")</f>
        <v/>
      </c>
      <c r="N39" s="10" t="str">
        <f aca="false">IF(M39="","",IF(M39&gt;=20,"Critical",IF(M39&gt;=12,"High",IF(M39&gt;=6,"Moderate","Low"))))</f>
        <v/>
      </c>
      <c r="O39" s="9"/>
      <c r="P39" s="9"/>
      <c r="Q39" s="9"/>
      <c r="R39" s="9"/>
      <c r="S39" s="9"/>
      <c r="T39" s="9"/>
      <c r="U39" s="9"/>
      <c r="V39" s="9"/>
    </row>
    <row r="40" customFormat="false" ht="53.7" hidden="false" customHeight="false" outlineLevel="0" collapsed="false">
      <c r="A40" s="7" t="s">
        <v>253</v>
      </c>
      <c r="B40" s="7" t="s">
        <v>254</v>
      </c>
      <c r="C40" s="18" t="s">
        <v>224</v>
      </c>
      <c r="D40" s="7" t="s">
        <v>255</v>
      </c>
      <c r="E40" s="7" t="s">
        <v>129</v>
      </c>
      <c r="F40" s="7" t="s">
        <v>124</v>
      </c>
      <c r="G40" s="9"/>
      <c r="H40" s="9"/>
      <c r="I40" s="7" t="s">
        <v>256</v>
      </c>
      <c r="J40" s="9"/>
      <c r="K40" s="9"/>
      <c r="L40" s="9"/>
      <c r="M40" s="10" t="str">
        <f aca="false">IF(AND(K40&lt;&gt;"",L40&lt;&gt;""),K40*L40,"")</f>
        <v/>
      </c>
      <c r="N40" s="10" t="str">
        <f aca="false">IF(M40="","",IF(M40&gt;=20,"Critical",IF(M40&gt;=12,"High",IF(M40&gt;=6,"Moderate","Low"))))</f>
        <v/>
      </c>
      <c r="O40" s="9"/>
      <c r="P40" s="9"/>
      <c r="Q40" s="9"/>
      <c r="R40" s="9"/>
      <c r="S40" s="9"/>
      <c r="T40" s="9"/>
      <c r="U40" s="9"/>
      <c r="V40" s="9"/>
    </row>
    <row r="41" customFormat="false" ht="43.25" hidden="false" customHeight="false" outlineLevel="0" collapsed="false">
      <c r="A41" s="10" t="s">
        <v>257</v>
      </c>
      <c r="B41" s="10" t="s">
        <v>258</v>
      </c>
      <c r="C41" s="19" t="s">
        <v>224</v>
      </c>
      <c r="D41" s="10" t="s">
        <v>259</v>
      </c>
      <c r="E41" s="10" t="s">
        <v>260</v>
      </c>
      <c r="F41" s="10" t="s">
        <v>261</v>
      </c>
      <c r="G41" s="9"/>
      <c r="H41" s="9"/>
      <c r="I41" s="10" t="s">
        <v>262</v>
      </c>
      <c r="J41" s="9"/>
      <c r="K41" s="9"/>
      <c r="L41" s="9"/>
      <c r="M41" s="10" t="str">
        <f aca="false">IF(AND(K41&lt;&gt;"",L41&lt;&gt;""),K41*L41,"")</f>
        <v/>
      </c>
      <c r="N41" s="10" t="str">
        <f aca="false">IF(M41="","",IF(M41&gt;=20,"Critical",IF(M41&gt;=12,"High",IF(M41&gt;=6,"Moderate","Low"))))</f>
        <v/>
      </c>
      <c r="O41" s="9"/>
      <c r="P41" s="9"/>
      <c r="Q41" s="9"/>
      <c r="R41" s="9"/>
      <c r="S41" s="9"/>
      <c r="T41" s="9"/>
      <c r="U41" s="9"/>
      <c r="V41" s="9"/>
    </row>
    <row r="42" customFormat="false" ht="43.25" hidden="false" customHeight="false" outlineLevel="0" collapsed="false">
      <c r="A42" s="7" t="s">
        <v>263</v>
      </c>
      <c r="B42" s="7" t="s">
        <v>264</v>
      </c>
      <c r="C42" s="18" t="s">
        <v>224</v>
      </c>
      <c r="D42" s="7" t="s">
        <v>115</v>
      </c>
      <c r="E42" s="7" t="s">
        <v>116</v>
      </c>
      <c r="F42" s="7" t="s">
        <v>117</v>
      </c>
      <c r="G42" s="9"/>
      <c r="H42" s="9"/>
      <c r="I42" s="7" t="s">
        <v>265</v>
      </c>
      <c r="J42" s="9"/>
      <c r="K42" s="9"/>
      <c r="L42" s="9"/>
      <c r="M42" s="10" t="str">
        <f aca="false">IF(AND(K42&lt;&gt;"",L42&lt;&gt;""),K42*L42,"")</f>
        <v/>
      </c>
      <c r="N42" s="10" t="str">
        <f aca="false">IF(M42="","",IF(M42&gt;=20,"Critical",IF(M42&gt;=12,"High",IF(M42&gt;=6,"Moderate","Low"))))</f>
        <v/>
      </c>
      <c r="O42" s="9"/>
      <c r="P42" s="9"/>
      <c r="Q42" s="9"/>
      <c r="R42" s="9"/>
      <c r="S42" s="9"/>
      <c r="T42" s="9"/>
      <c r="U42" s="9"/>
      <c r="V42" s="9"/>
    </row>
    <row r="43" customFormat="false" ht="43.25" hidden="false" customHeight="false" outlineLevel="0" collapsed="false">
      <c r="A43" s="10" t="s">
        <v>266</v>
      </c>
      <c r="B43" s="10" t="s">
        <v>267</v>
      </c>
      <c r="C43" s="19" t="s">
        <v>224</v>
      </c>
      <c r="D43" s="10" t="s">
        <v>268</v>
      </c>
      <c r="E43" s="10" t="s">
        <v>269</v>
      </c>
      <c r="F43" s="10" t="s">
        <v>270</v>
      </c>
      <c r="G43" s="9"/>
      <c r="H43" s="9"/>
      <c r="I43" s="10" t="s">
        <v>271</v>
      </c>
      <c r="J43" s="9"/>
      <c r="K43" s="9"/>
      <c r="L43" s="9"/>
      <c r="M43" s="10" t="str">
        <f aca="false">IF(AND(K43&lt;&gt;"",L43&lt;&gt;""),K43*L43,"")</f>
        <v/>
      </c>
      <c r="N43" s="10" t="str">
        <f aca="false">IF(M43="","",IF(M43&gt;=20,"Critical",IF(M43&gt;=12,"High",IF(M43&gt;=6,"Moderate","Low"))))</f>
        <v/>
      </c>
      <c r="O43" s="9"/>
      <c r="P43" s="9"/>
      <c r="Q43" s="9"/>
      <c r="R43" s="9"/>
      <c r="S43" s="9"/>
      <c r="T43" s="9"/>
      <c r="U43" s="9"/>
      <c r="V43" s="9"/>
    </row>
  </sheetData>
  <autoFilter ref="A1:V43"/>
  <conditionalFormatting sqref="N2:N43">
    <cfRule type="cellIs" priority="2" operator="equal" aboveAverage="0" equalAverage="0" bottom="0" percent="0" rank="0" text="" dxfId="10">
      <formula>"Critical"</formula>
    </cfRule>
    <cfRule type="cellIs" priority="3" operator="equal" aboveAverage="0" equalAverage="0" bottom="0" percent="0" rank="0" text="" dxfId="11">
      <formula>"High"</formula>
    </cfRule>
    <cfRule type="cellIs" priority="4" operator="equal" aboveAverage="0" equalAverage="0" bottom="0" percent="0" rank="0" text="" dxfId="12">
      <formula>"Moderate"</formula>
    </cfRule>
    <cfRule type="cellIs" priority="5" operator="equal" aboveAverage="0" equalAverage="0" bottom="0" percent="0" rank="0" text="" dxfId="13">
      <formula>"Low"</formula>
    </cfRule>
  </conditionalFormatting>
  <dataValidations count="5">
    <dataValidation allowBlank="true" errorStyle="stop" operator="between" showDropDown="false" showErrorMessage="false" showInputMessage="false" sqref="H2:H43" type="list">
      <formula1>"Traditional,Initial,Advanced,Optimal"</formula1>
      <formula2>0</formula2>
    </dataValidation>
    <dataValidation allowBlank="true" errorStyle="stop" operator="between" showDropDown="false" showErrorMessage="false" showInputMessage="false" sqref="K2:L43" type="list">
      <formula1>"1,2,3,4,5"</formula1>
      <formula2>0</formula2>
    </dataValidation>
    <dataValidation allowBlank="true" errorStyle="stop" operator="between" showDropDown="false" showErrorMessage="false" showInputMessage="false" sqref="P2:P43" type="list">
      <formula1>"Developer,Deployer,Contractor,Vendor,Regulator,End-User,Multiple"</formula1>
      <formula2>0</formula2>
    </dataValidation>
    <dataValidation allowBlank="true" errorStyle="stop" operator="between" showDropDown="false" showErrorMessage="false" showInputMessage="false" sqref="T2:T43" type="list">
      <formula1>"Collected,Pending,Not Available,N/A"</formula1>
      <formula2>0</formula2>
    </dataValidation>
    <dataValidation allowBlank="true" errorStyle="stop" operator="between" showDropDown="false" showErrorMessage="false" showInputMessage="false" sqref="U2:U43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74C3C"/>
    <pageSetUpPr fitToPage="false"/>
  </sheetPr>
  <dimension ref="A1:F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0" width="18"/>
  </cols>
  <sheetData>
    <row r="1" customFormat="false" ht="17.35" hidden="false" customHeight="false" outlineLevel="0" collapsed="false">
      <c r="A1" s="20" t="s">
        <v>272</v>
      </c>
      <c r="B1" s="20"/>
      <c r="C1" s="20"/>
      <c r="D1" s="20"/>
      <c r="E1" s="20"/>
      <c r="F1" s="20"/>
    </row>
    <row r="3" customFormat="false" ht="15" hidden="false" customHeight="false" outlineLevel="0" collapsed="false">
      <c r="A3" s="6" t="s">
        <v>273</v>
      </c>
      <c r="B3" s="6" t="s">
        <v>274</v>
      </c>
      <c r="C3" s="6" t="s">
        <v>275</v>
      </c>
      <c r="D3" s="6" t="s">
        <v>276</v>
      </c>
      <c r="E3" s="6" t="s">
        <v>277</v>
      </c>
      <c r="F3" s="6" t="s">
        <v>278</v>
      </c>
    </row>
    <row r="4" customFormat="false" ht="15" hidden="false" customHeight="false" outlineLevel="0" collapsed="false">
      <c r="A4" s="7" t="s">
        <v>63</v>
      </c>
      <c r="B4" s="7" t="n">
        <f aca="false">COUNTIFS('Gap Analysis'!C:C,"*P1*",'Gap Analysis'!N:N,"Critical")</f>
        <v>0</v>
      </c>
      <c r="C4" s="7" t="n">
        <f aca="false">COUNTIFS('Gap Analysis'!C:C,"*P1*",'Gap Analysis'!N:N,"High")</f>
        <v>0</v>
      </c>
      <c r="D4" s="7" t="n">
        <f aca="false">COUNTIFS('Gap Analysis'!C:C,"*P1*",'Gap Analysis'!N:N,"Moderate")</f>
        <v>0</v>
      </c>
      <c r="E4" s="7" t="n">
        <f aca="false">COUNTIFS('Gap Analysis'!C:C,"*P1*",'Gap Analysis'!N:N,"Low")</f>
        <v>0</v>
      </c>
      <c r="F4" s="7" t="n">
        <f aca="false">COUNTIFS('Gap Analysis'!C:C,"*P1*",'Gap Analysis'!N:N,"")</f>
        <v>10</v>
      </c>
    </row>
    <row r="5" customFormat="false" ht="15" hidden="false" customHeight="false" outlineLevel="0" collapsed="false">
      <c r="A5" s="10" t="s">
        <v>121</v>
      </c>
      <c r="B5" s="10" t="n">
        <f aca="false">COUNTIFS('Gap Analysis'!C:C,"*P2*",'Gap Analysis'!N:N,"Critical")</f>
        <v>0</v>
      </c>
      <c r="C5" s="10" t="n">
        <f aca="false">COUNTIFS('Gap Analysis'!C:C,"*P2*",'Gap Analysis'!N:N,"High")</f>
        <v>0</v>
      </c>
      <c r="D5" s="10" t="n">
        <f aca="false">COUNTIFS('Gap Analysis'!C:C,"*P2*",'Gap Analysis'!N:N,"Moderate")</f>
        <v>0</v>
      </c>
      <c r="E5" s="10" t="n">
        <f aca="false">COUNTIFS('Gap Analysis'!C:C,"*P2*",'Gap Analysis'!N:N,"Low")</f>
        <v>0</v>
      </c>
      <c r="F5" s="10" t="n">
        <f aca="false">COUNTIFS('Gap Analysis'!C:C,"*P2*",'Gap Analysis'!N:N,"")</f>
        <v>8</v>
      </c>
    </row>
    <row r="6" customFormat="false" ht="15" hidden="false" customHeight="false" outlineLevel="0" collapsed="false">
      <c r="A6" s="7" t="s">
        <v>159</v>
      </c>
      <c r="B6" s="7" t="n">
        <f aca="false">COUNTIFS('Gap Analysis'!C:C,"*P3*",'Gap Analysis'!N:N,"Critical")</f>
        <v>0</v>
      </c>
      <c r="C6" s="7" t="n">
        <f aca="false">COUNTIFS('Gap Analysis'!C:C,"*P3*",'Gap Analysis'!N:N,"High")</f>
        <v>0</v>
      </c>
      <c r="D6" s="7" t="n">
        <f aca="false">COUNTIFS('Gap Analysis'!C:C,"*P3*",'Gap Analysis'!N:N,"Moderate")</f>
        <v>0</v>
      </c>
      <c r="E6" s="7" t="n">
        <f aca="false">COUNTIFS('Gap Analysis'!C:C,"*P3*",'Gap Analysis'!N:N,"Low")</f>
        <v>0</v>
      </c>
      <c r="F6" s="7" t="n">
        <f aca="false">COUNTIFS('Gap Analysis'!C:C,"*P3*",'Gap Analysis'!N:N,"")</f>
        <v>6</v>
      </c>
    </row>
    <row r="7" customFormat="false" ht="15" hidden="false" customHeight="false" outlineLevel="0" collapsed="false">
      <c r="A7" s="10" t="s">
        <v>191</v>
      </c>
      <c r="B7" s="10" t="n">
        <f aca="false">COUNTIFS('Gap Analysis'!C:C,"*P4*",'Gap Analysis'!N:N,"Critical")</f>
        <v>0</v>
      </c>
      <c r="C7" s="10" t="n">
        <f aca="false">COUNTIFS('Gap Analysis'!C:C,"*P4*",'Gap Analysis'!N:N,"High")</f>
        <v>0</v>
      </c>
      <c r="D7" s="10" t="n">
        <f aca="false">COUNTIFS('Gap Analysis'!C:C,"*P4*",'Gap Analysis'!N:N,"Moderate")</f>
        <v>0</v>
      </c>
      <c r="E7" s="10" t="n">
        <f aca="false">COUNTIFS('Gap Analysis'!C:C,"*P4*",'Gap Analysis'!N:N,"Low")</f>
        <v>0</v>
      </c>
      <c r="F7" s="10" t="n">
        <f aca="false">COUNTIFS('Gap Analysis'!C:C,"*P4*",'Gap Analysis'!N:N,"")</f>
        <v>8</v>
      </c>
    </row>
    <row r="8" customFormat="false" ht="15" hidden="false" customHeight="false" outlineLevel="0" collapsed="false">
      <c r="A8" s="7" t="s">
        <v>224</v>
      </c>
      <c r="B8" s="7" t="n">
        <f aca="false">COUNTIFS('Gap Analysis'!C:C,"*P5*",'Gap Analysis'!N:N,"Critical")</f>
        <v>0</v>
      </c>
      <c r="C8" s="7" t="n">
        <f aca="false">COUNTIFS('Gap Analysis'!C:C,"*P5*",'Gap Analysis'!N:N,"High")</f>
        <v>0</v>
      </c>
      <c r="D8" s="7" t="n">
        <f aca="false">COUNTIFS('Gap Analysis'!C:C,"*P5*",'Gap Analysis'!N:N,"Moderate")</f>
        <v>0</v>
      </c>
      <c r="E8" s="7" t="n">
        <f aca="false">COUNTIFS('Gap Analysis'!C:C,"*P5*",'Gap Analysis'!N:N,"Low")</f>
        <v>0</v>
      </c>
      <c r="F8" s="7" t="n">
        <f aca="false">COUNTIFS('Gap Analysis'!C:C,"*P5*",'Gap Analysis'!N:N,"")</f>
        <v>10</v>
      </c>
    </row>
    <row r="9" customFormat="false" ht="15" hidden="false" customHeight="false" outlineLevel="0" collapsed="false">
      <c r="A9" s="10" t="s">
        <v>279</v>
      </c>
      <c r="B9" s="10" t="n">
        <f aca="false">SUM(B4:B8)</f>
        <v>0</v>
      </c>
      <c r="C9" s="10" t="n">
        <f aca="false">SUM(C4:C8)</f>
        <v>0</v>
      </c>
      <c r="D9" s="10" t="n">
        <f aca="false">SUM(D4:D8)</f>
        <v>0</v>
      </c>
      <c r="E9" s="10" t="n">
        <f aca="false">SUM(E4:E8)</f>
        <v>0</v>
      </c>
      <c r="F9" s="10" t="n">
        <f aca="false">SUM(F4:F8)</f>
        <v>42</v>
      </c>
    </row>
    <row r="12" customFormat="false" ht="17.35" hidden="false" customHeight="false" outlineLevel="0" collapsed="false">
      <c r="A12" s="20" t="s">
        <v>280</v>
      </c>
      <c r="B12" s="20"/>
      <c r="C12" s="20"/>
      <c r="D12" s="20"/>
      <c r="E12" s="20"/>
      <c r="F12" s="20"/>
    </row>
    <row r="14" customFormat="false" ht="15" hidden="false" customHeight="false" outlineLevel="0" collapsed="false">
      <c r="A14" s="21" t="s">
        <v>273</v>
      </c>
      <c r="B14" s="21" t="s">
        <v>281</v>
      </c>
      <c r="C14" s="21" t="s">
        <v>282</v>
      </c>
      <c r="D14" s="21" t="s">
        <v>283</v>
      </c>
      <c r="E14" s="21" t="s">
        <v>284</v>
      </c>
      <c r="F14" s="21" t="s">
        <v>278</v>
      </c>
    </row>
    <row r="15" customFormat="false" ht="15" hidden="false" customHeight="false" outlineLevel="0" collapsed="false">
      <c r="A15" s="10" t="s">
        <v>63</v>
      </c>
      <c r="B15" s="10" t="n">
        <f aca="false">COUNTIFS('Gap Analysis'!C:C,"*P1*",'Gap Analysis'!H:H,"Traditional")</f>
        <v>0</v>
      </c>
      <c r="C15" s="10" t="n">
        <f aca="false">COUNTIFS('Gap Analysis'!C:C,"*P1*",'Gap Analysis'!H:H,"Initial")</f>
        <v>0</v>
      </c>
      <c r="D15" s="10" t="n">
        <f aca="false">COUNTIFS('Gap Analysis'!C:C,"*P1*",'Gap Analysis'!H:H,"Advanced")</f>
        <v>0</v>
      </c>
      <c r="E15" s="10" t="n">
        <f aca="false">COUNTIFS('Gap Analysis'!C:C,"*P1*",'Gap Analysis'!H:H,"Optimal")</f>
        <v>0</v>
      </c>
      <c r="F15" s="10" t="n">
        <f aca="false">COUNTIFS('Gap Analysis'!C:C,"*P1*",'Gap Analysis'!H:H,"")</f>
        <v>10</v>
      </c>
    </row>
    <row r="16" customFormat="false" ht="15" hidden="false" customHeight="false" outlineLevel="0" collapsed="false">
      <c r="A16" s="7" t="s">
        <v>121</v>
      </c>
      <c r="B16" s="7" t="n">
        <f aca="false">COUNTIFS('Gap Analysis'!C:C,"*P2*",'Gap Analysis'!H:H,"Traditional")</f>
        <v>0</v>
      </c>
      <c r="C16" s="7" t="n">
        <f aca="false">COUNTIFS('Gap Analysis'!C:C,"*P2*",'Gap Analysis'!H:H,"Initial")</f>
        <v>0</v>
      </c>
      <c r="D16" s="7" t="n">
        <f aca="false">COUNTIFS('Gap Analysis'!C:C,"*P2*",'Gap Analysis'!H:H,"Advanced")</f>
        <v>0</v>
      </c>
      <c r="E16" s="7" t="n">
        <f aca="false">COUNTIFS('Gap Analysis'!C:C,"*P2*",'Gap Analysis'!H:H,"Optimal")</f>
        <v>0</v>
      </c>
      <c r="F16" s="7" t="n">
        <f aca="false">COUNTIFS('Gap Analysis'!C:C,"*P2*",'Gap Analysis'!H:H,"")</f>
        <v>8</v>
      </c>
    </row>
    <row r="17" customFormat="false" ht="15" hidden="false" customHeight="false" outlineLevel="0" collapsed="false">
      <c r="A17" s="10" t="s">
        <v>159</v>
      </c>
      <c r="B17" s="10" t="n">
        <f aca="false">COUNTIFS('Gap Analysis'!C:C,"*P3*",'Gap Analysis'!H:H,"Traditional")</f>
        <v>0</v>
      </c>
      <c r="C17" s="10" t="n">
        <f aca="false">COUNTIFS('Gap Analysis'!C:C,"*P3*",'Gap Analysis'!H:H,"Initial")</f>
        <v>0</v>
      </c>
      <c r="D17" s="10" t="n">
        <f aca="false">COUNTIFS('Gap Analysis'!C:C,"*P3*",'Gap Analysis'!H:H,"Advanced")</f>
        <v>0</v>
      </c>
      <c r="E17" s="10" t="n">
        <f aca="false">COUNTIFS('Gap Analysis'!C:C,"*P3*",'Gap Analysis'!H:H,"Optimal")</f>
        <v>0</v>
      </c>
      <c r="F17" s="10" t="n">
        <f aca="false">COUNTIFS('Gap Analysis'!C:C,"*P3*",'Gap Analysis'!H:H,"")</f>
        <v>6</v>
      </c>
    </row>
    <row r="18" customFormat="false" ht="15" hidden="false" customHeight="false" outlineLevel="0" collapsed="false">
      <c r="A18" s="7" t="s">
        <v>191</v>
      </c>
      <c r="B18" s="7" t="n">
        <f aca="false">COUNTIFS('Gap Analysis'!C:C,"*P4*",'Gap Analysis'!H:H,"Traditional")</f>
        <v>0</v>
      </c>
      <c r="C18" s="7" t="n">
        <f aca="false">COUNTIFS('Gap Analysis'!C:C,"*P4*",'Gap Analysis'!H:H,"Initial")</f>
        <v>0</v>
      </c>
      <c r="D18" s="7" t="n">
        <f aca="false">COUNTIFS('Gap Analysis'!C:C,"*P4*",'Gap Analysis'!H:H,"Advanced")</f>
        <v>0</v>
      </c>
      <c r="E18" s="7" t="n">
        <f aca="false">COUNTIFS('Gap Analysis'!C:C,"*P4*",'Gap Analysis'!H:H,"Optimal")</f>
        <v>0</v>
      </c>
      <c r="F18" s="7" t="n">
        <f aca="false">COUNTIFS('Gap Analysis'!C:C,"*P4*",'Gap Analysis'!H:H,"")</f>
        <v>8</v>
      </c>
    </row>
    <row r="19" customFormat="false" ht="15" hidden="false" customHeight="false" outlineLevel="0" collapsed="false">
      <c r="A19" s="10" t="s">
        <v>224</v>
      </c>
      <c r="B19" s="10" t="n">
        <f aca="false">COUNTIFS('Gap Analysis'!C:C,"*P5*",'Gap Analysis'!H:H,"Traditional")</f>
        <v>0</v>
      </c>
      <c r="C19" s="10" t="n">
        <f aca="false">COUNTIFS('Gap Analysis'!C:C,"*P5*",'Gap Analysis'!H:H,"Initial")</f>
        <v>0</v>
      </c>
      <c r="D19" s="10" t="n">
        <f aca="false">COUNTIFS('Gap Analysis'!C:C,"*P5*",'Gap Analysis'!H:H,"Advanced")</f>
        <v>0</v>
      </c>
      <c r="E19" s="10" t="n">
        <f aca="false">COUNTIFS('Gap Analysis'!C:C,"*P5*",'Gap Analysis'!H:H,"Optimal")</f>
        <v>0</v>
      </c>
      <c r="F19" s="10" t="n">
        <f aca="false">COUNTIFS('Gap Analysis'!C:C,"*P5*",'Gap Analysis'!H:H,"")</f>
        <v>10</v>
      </c>
    </row>
  </sheetData>
  <mergeCells count="2">
    <mergeCell ref="A1:F1"/>
    <mergeCell ref="A12:F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7AE60"/>
    <pageSetUpPr fitToPage="false"/>
  </sheetPr>
  <dimension ref="A1:Q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8"/>
    <col collapsed="false" customWidth="true" hidden="false" outlineLevel="0" max="3" min="3" style="0" width="12"/>
    <col collapsed="false" customWidth="true" hidden="false" outlineLevel="0" max="4" min="4" style="0" width="32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7" min="7" style="0" width="20"/>
    <col collapsed="false" customWidth="true" hidden="false" outlineLevel="0" max="9" min="8" style="0" width="12"/>
    <col collapsed="false" customWidth="true" hidden="false" outlineLevel="0" max="10" min="10" style="0" width="20"/>
    <col collapsed="false" customWidth="true" hidden="false" outlineLevel="0" max="12" min="11" style="0" width="12"/>
    <col collapsed="false" customWidth="true" hidden="false" outlineLevel="0" max="13" min="13" style="0" width="28"/>
    <col collapsed="false" customWidth="true" hidden="false" outlineLevel="0" max="14" min="14" style="0" width="12"/>
    <col collapsed="false" customWidth="true" hidden="false" outlineLevel="0" max="15" min="15" style="0" width="16"/>
    <col collapsed="false" customWidth="true" hidden="false" outlineLevel="0" max="17" min="16" style="0" width="12"/>
  </cols>
  <sheetData>
    <row r="1" customFormat="false" ht="23.85" hidden="false" customHeight="false" outlineLevel="0" collapsed="false">
      <c r="A1" s="22" t="s">
        <v>39</v>
      </c>
      <c r="B1" s="22" t="s">
        <v>40</v>
      </c>
      <c r="C1" s="22" t="s">
        <v>52</v>
      </c>
      <c r="D1" s="22" t="s">
        <v>53</v>
      </c>
      <c r="E1" s="22" t="s">
        <v>285</v>
      </c>
      <c r="F1" s="22" t="s">
        <v>286</v>
      </c>
      <c r="G1" s="22" t="s">
        <v>287</v>
      </c>
      <c r="H1" s="22" t="s">
        <v>288</v>
      </c>
      <c r="I1" s="22" t="s">
        <v>289</v>
      </c>
      <c r="J1" s="22" t="s">
        <v>290</v>
      </c>
      <c r="K1" s="22" t="s">
        <v>291</v>
      </c>
      <c r="L1" s="22" t="s">
        <v>292</v>
      </c>
      <c r="M1" s="22" t="s">
        <v>293</v>
      </c>
      <c r="N1" s="22" t="s">
        <v>294</v>
      </c>
      <c r="O1" s="22" t="s">
        <v>295</v>
      </c>
      <c r="P1" s="22" t="s">
        <v>296</v>
      </c>
      <c r="Q1" s="22" t="s">
        <v>297</v>
      </c>
    </row>
    <row r="2" customFormat="false" ht="15" hidden="false" customHeight="false" outlineLevel="0" collapsed="false">
      <c r="A2" s="7" t="s">
        <v>61</v>
      </c>
      <c r="B2" s="7" t="s">
        <v>62</v>
      </c>
      <c r="C2" s="7" t="str">
        <f aca="false">'Gap Analysis'!N2</f>
        <v/>
      </c>
      <c r="D2" s="7" t="n">
        <f aca="false">'Gap Analysis'!O2</f>
        <v>0</v>
      </c>
      <c r="E2" s="7" t="n">
        <f aca="false">'Gap Analysis'!P2</f>
        <v>0</v>
      </c>
      <c r="F2" s="7" t="n">
        <f aca="false">'Gap Analysis'!Q2</f>
        <v>0</v>
      </c>
      <c r="G2" s="9"/>
      <c r="H2" s="9"/>
      <c r="I2" s="9"/>
      <c r="J2" s="9"/>
      <c r="K2" s="9"/>
      <c r="L2" s="9"/>
      <c r="M2" s="9"/>
      <c r="N2" s="9"/>
      <c r="O2" s="9"/>
      <c r="P2" s="9"/>
      <c r="Q2" s="9"/>
    </row>
    <row r="3" customFormat="false" ht="15" hidden="false" customHeight="false" outlineLevel="0" collapsed="false">
      <c r="A3" s="10" t="s">
        <v>68</v>
      </c>
      <c r="B3" s="10" t="s">
        <v>69</v>
      </c>
      <c r="C3" s="10" t="str">
        <f aca="false">'Gap Analysis'!N3</f>
        <v/>
      </c>
      <c r="D3" s="10" t="n">
        <f aca="false">'Gap Analysis'!O3</f>
        <v>0</v>
      </c>
      <c r="E3" s="10" t="n">
        <f aca="false">'Gap Analysis'!P3</f>
        <v>0</v>
      </c>
      <c r="F3" s="10" t="n">
        <f aca="false">'Gap Analysis'!Q3</f>
        <v>0</v>
      </c>
      <c r="G3" s="9"/>
      <c r="H3" s="9"/>
      <c r="I3" s="9"/>
      <c r="J3" s="9"/>
      <c r="K3" s="9"/>
      <c r="L3" s="9"/>
      <c r="M3" s="9"/>
      <c r="N3" s="9"/>
      <c r="O3" s="9"/>
      <c r="P3" s="9"/>
      <c r="Q3" s="9"/>
    </row>
    <row r="4" customFormat="false" ht="15" hidden="false" customHeight="false" outlineLevel="0" collapsed="false">
      <c r="A4" s="7" t="s">
        <v>74</v>
      </c>
      <c r="B4" s="7" t="s">
        <v>75</v>
      </c>
      <c r="C4" s="7" t="str">
        <f aca="false">'Gap Analysis'!N4</f>
        <v/>
      </c>
      <c r="D4" s="7" t="n">
        <f aca="false">'Gap Analysis'!O4</f>
        <v>0</v>
      </c>
      <c r="E4" s="7" t="n">
        <f aca="false">'Gap Analysis'!P4</f>
        <v>0</v>
      </c>
      <c r="F4" s="7" t="n">
        <f aca="false">'Gap Analysis'!Q4</f>
        <v>0</v>
      </c>
      <c r="G4" s="9"/>
      <c r="H4" s="9"/>
      <c r="I4" s="9"/>
      <c r="J4" s="9"/>
      <c r="K4" s="9"/>
      <c r="L4" s="9"/>
      <c r="M4" s="9"/>
      <c r="N4" s="9"/>
      <c r="O4" s="9"/>
      <c r="P4" s="9"/>
      <c r="Q4" s="9"/>
    </row>
    <row r="5" customFormat="false" ht="15" hidden="false" customHeight="false" outlineLevel="0" collapsed="false">
      <c r="A5" s="10" t="s">
        <v>80</v>
      </c>
      <c r="B5" s="10" t="s">
        <v>81</v>
      </c>
      <c r="C5" s="10" t="str">
        <f aca="false">'Gap Analysis'!N5</f>
        <v/>
      </c>
      <c r="D5" s="10" t="n">
        <f aca="false">'Gap Analysis'!O5</f>
        <v>0</v>
      </c>
      <c r="E5" s="10" t="n">
        <f aca="false">'Gap Analysis'!P5</f>
        <v>0</v>
      </c>
      <c r="F5" s="10" t="n">
        <f aca="false">'Gap Analysis'!Q5</f>
        <v>0</v>
      </c>
      <c r="G5" s="9"/>
      <c r="H5" s="9"/>
      <c r="I5" s="9"/>
      <c r="J5" s="9"/>
      <c r="K5" s="9"/>
      <c r="L5" s="9"/>
      <c r="M5" s="9"/>
      <c r="N5" s="9"/>
      <c r="O5" s="9"/>
      <c r="P5" s="9"/>
      <c r="Q5" s="9"/>
    </row>
    <row r="6" customFormat="false" ht="15" hidden="false" customHeight="false" outlineLevel="0" collapsed="false">
      <c r="A6" s="7" t="s">
        <v>86</v>
      </c>
      <c r="B6" s="7" t="s">
        <v>87</v>
      </c>
      <c r="C6" s="7" t="str">
        <f aca="false">'Gap Analysis'!N6</f>
        <v/>
      </c>
      <c r="D6" s="7" t="n">
        <f aca="false">'Gap Analysis'!O6</f>
        <v>0</v>
      </c>
      <c r="E6" s="7" t="n">
        <f aca="false">'Gap Analysis'!P6</f>
        <v>0</v>
      </c>
      <c r="F6" s="7" t="n">
        <f aca="false">'Gap Analysis'!Q6</f>
        <v>0</v>
      </c>
      <c r="G6" s="9"/>
      <c r="H6" s="9"/>
      <c r="I6" s="9"/>
      <c r="J6" s="9"/>
      <c r="K6" s="9"/>
      <c r="L6" s="9"/>
      <c r="M6" s="9"/>
      <c r="N6" s="9"/>
      <c r="O6" s="9"/>
      <c r="P6" s="9"/>
      <c r="Q6" s="9"/>
    </row>
    <row r="7" customFormat="false" ht="15" hidden="false" customHeight="false" outlineLevel="0" collapsed="false">
      <c r="A7" s="10" t="s">
        <v>91</v>
      </c>
      <c r="B7" s="10" t="s">
        <v>92</v>
      </c>
      <c r="C7" s="10" t="str">
        <f aca="false">'Gap Analysis'!N7</f>
        <v/>
      </c>
      <c r="D7" s="10" t="n">
        <f aca="false">'Gap Analysis'!O7</f>
        <v>0</v>
      </c>
      <c r="E7" s="10" t="n">
        <f aca="false">'Gap Analysis'!P7</f>
        <v>0</v>
      </c>
      <c r="F7" s="10" t="n">
        <f aca="false">'Gap Analysis'!Q7</f>
        <v>0</v>
      </c>
      <c r="G7" s="9"/>
      <c r="H7" s="9"/>
      <c r="I7" s="9"/>
      <c r="J7" s="9"/>
      <c r="K7" s="9"/>
      <c r="L7" s="9"/>
      <c r="M7" s="9"/>
      <c r="N7" s="9"/>
      <c r="O7" s="9"/>
      <c r="P7" s="9"/>
      <c r="Q7" s="9"/>
    </row>
    <row r="8" customFormat="false" ht="15" hidden="false" customHeight="false" outlineLevel="0" collapsed="false">
      <c r="A8" s="7" t="s">
        <v>95</v>
      </c>
      <c r="B8" s="7" t="s">
        <v>96</v>
      </c>
      <c r="C8" s="7" t="str">
        <f aca="false">'Gap Analysis'!N8</f>
        <v/>
      </c>
      <c r="D8" s="7" t="n">
        <f aca="false">'Gap Analysis'!O8</f>
        <v>0</v>
      </c>
      <c r="E8" s="7" t="n">
        <f aca="false">'Gap Analysis'!P8</f>
        <v>0</v>
      </c>
      <c r="F8" s="7" t="n">
        <f aca="false">'Gap Analysis'!Q8</f>
        <v>0</v>
      </c>
      <c r="G8" s="9"/>
      <c r="H8" s="9"/>
      <c r="I8" s="9"/>
      <c r="J8" s="9"/>
      <c r="K8" s="9"/>
      <c r="L8" s="9"/>
      <c r="M8" s="9"/>
      <c r="N8" s="9"/>
      <c r="O8" s="9"/>
      <c r="P8" s="9"/>
      <c r="Q8" s="9"/>
    </row>
    <row r="9" customFormat="false" ht="15" hidden="false" customHeight="false" outlineLevel="0" collapsed="false">
      <c r="A9" s="10" t="s">
        <v>101</v>
      </c>
      <c r="B9" s="10" t="s">
        <v>102</v>
      </c>
      <c r="C9" s="10" t="str">
        <f aca="false">'Gap Analysis'!N9</f>
        <v/>
      </c>
      <c r="D9" s="10" t="n">
        <f aca="false">'Gap Analysis'!O9</f>
        <v>0</v>
      </c>
      <c r="E9" s="10" t="n">
        <f aca="false">'Gap Analysis'!P9</f>
        <v>0</v>
      </c>
      <c r="F9" s="10" t="n">
        <f aca="false">'Gap Analysis'!Q9</f>
        <v>0</v>
      </c>
      <c r="G9" s="9"/>
      <c r="H9" s="9"/>
      <c r="I9" s="9"/>
      <c r="J9" s="9"/>
      <c r="K9" s="9"/>
      <c r="L9" s="9"/>
      <c r="M9" s="9"/>
      <c r="N9" s="9"/>
      <c r="O9" s="9"/>
      <c r="P9" s="9"/>
      <c r="Q9" s="9"/>
    </row>
    <row r="10" customFormat="false" ht="15" hidden="false" customHeight="false" outlineLevel="0" collapsed="false">
      <c r="A10" s="7" t="s">
        <v>107</v>
      </c>
      <c r="B10" s="7" t="s">
        <v>108</v>
      </c>
      <c r="C10" s="7" t="str">
        <f aca="false">'Gap Analysis'!N10</f>
        <v/>
      </c>
      <c r="D10" s="7" t="n">
        <f aca="false">'Gap Analysis'!O10</f>
        <v>0</v>
      </c>
      <c r="E10" s="7" t="n">
        <f aca="false">'Gap Analysis'!P10</f>
        <v>0</v>
      </c>
      <c r="F10" s="7" t="n">
        <f aca="false">'Gap Analysis'!Q10</f>
        <v>0</v>
      </c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</row>
    <row r="11" customFormat="false" ht="15" hidden="false" customHeight="false" outlineLevel="0" collapsed="false">
      <c r="A11" s="10" t="s">
        <v>113</v>
      </c>
      <c r="B11" s="10" t="s">
        <v>114</v>
      </c>
      <c r="C11" s="10" t="str">
        <f aca="false">'Gap Analysis'!N11</f>
        <v/>
      </c>
      <c r="D11" s="10" t="n">
        <f aca="false">'Gap Analysis'!O11</f>
        <v>0</v>
      </c>
      <c r="E11" s="10" t="n">
        <f aca="false">'Gap Analysis'!P11</f>
        <v>0</v>
      </c>
      <c r="F11" s="10" t="n">
        <f aca="false">'Gap Analysis'!Q11</f>
        <v>0</v>
      </c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</row>
    <row r="12" customFormat="false" ht="15" hidden="false" customHeight="false" outlineLevel="0" collapsed="false">
      <c r="A12" s="7" t="s">
        <v>119</v>
      </c>
      <c r="B12" s="7" t="s">
        <v>120</v>
      </c>
      <c r="C12" s="7" t="str">
        <f aca="false">'Gap Analysis'!N12</f>
        <v/>
      </c>
      <c r="D12" s="7" t="n">
        <f aca="false">'Gap Analysis'!O12</f>
        <v>0</v>
      </c>
      <c r="E12" s="7" t="n">
        <f aca="false">'Gap Analysis'!P12</f>
        <v>0</v>
      </c>
      <c r="F12" s="7" t="n">
        <f aca="false">'Gap Analysis'!Q12</f>
        <v>0</v>
      </c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</row>
    <row r="13" customFormat="false" ht="15" hidden="false" customHeight="false" outlineLevel="0" collapsed="false">
      <c r="A13" s="10" t="s">
        <v>126</v>
      </c>
      <c r="B13" s="10" t="s">
        <v>127</v>
      </c>
      <c r="C13" s="10" t="str">
        <f aca="false">'Gap Analysis'!N13</f>
        <v/>
      </c>
      <c r="D13" s="10" t="n">
        <f aca="false">'Gap Analysis'!O13</f>
        <v>0</v>
      </c>
      <c r="E13" s="10" t="n">
        <f aca="false">'Gap Analysis'!P13</f>
        <v>0</v>
      </c>
      <c r="F13" s="10" t="n">
        <f aca="false">'Gap Analysis'!Q13</f>
        <v>0</v>
      </c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</row>
    <row r="14" customFormat="false" ht="15" hidden="false" customHeight="false" outlineLevel="0" collapsed="false">
      <c r="A14" s="7" t="s">
        <v>131</v>
      </c>
      <c r="B14" s="7" t="s">
        <v>132</v>
      </c>
      <c r="C14" s="7" t="str">
        <f aca="false">'Gap Analysis'!N14</f>
        <v/>
      </c>
      <c r="D14" s="7" t="n">
        <f aca="false">'Gap Analysis'!O14</f>
        <v>0</v>
      </c>
      <c r="E14" s="7" t="n">
        <f aca="false">'Gap Analysis'!P14</f>
        <v>0</v>
      </c>
      <c r="F14" s="7" t="n">
        <f aca="false">'Gap Analysis'!Q14</f>
        <v>0</v>
      </c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</row>
    <row r="15" customFormat="false" ht="15" hidden="false" customHeight="false" outlineLevel="0" collapsed="false">
      <c r="A15" s="10" t="s">
        <v>137</v>
      </c>
      <c r="B15" s="10" t="s">
        <v>138</v>
      </c>
      <c r="C15" s="10" t="str">
        <f aca="false">'Gap Analysis'!N15</f>
        <v/>
      </c>
      <c r="D15" s="10" t="n">
        <f aca="false">'Gap Analysis'!O15</f>
        <v>0</v>
      </c>
      <c r="E15" s="10" t="n">
        <f aca="false">'Gap Analysis'!P15</f>
        <v>0</v>
      </c>
      <c r="F15" s="10" t="n">
        <f aca="false">'Gap Analysis'!Q15</f>
        <v>0</v>
      </c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</row>
    <row r="16" customFormat="false" ht="15" hidden="false" customHeight="false" outlineLevel="0" collapsed="false">
      <c r="A16" s="7" t="s">
        <v>141</v>
      </c>
      <c r="B16" s="7" t="s">
        <v>142</v>
      </c>
      <c r="C16" s="7" t="str">
        <f aca="false">'Gap Analysis'!N16</f>
        <v/>
      </c>
      <c r="D16" s="7" t="n">
        <f aca="false">'Gap Analysis'!O16</f>
        <v>0</v>
      </c>
      <c r="E16" s="7" t="n">
        <f aca="false">'Gap Analysis'!P16</f>
        <v>0</v>
      </c>
      <c r="F16" s="7" t="n">
        <f aca="false">'Gap Analysis'!Q16</f>
        <v>0</v>
      </c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</row>
    <row r="17" customFormat="false" ht="15" hidden="false" customHeight="false" outlineLevel="0" collapsed="false">
      <c r="A17" s="10" t="s">
        <v>145</v>
      </c>
      <c r="B17" s="10" t="s">
        <v>146</v>
      </c>
      <c r="C17" s="10" t="str">
        <f aca="false">'Gap Analysis'!N17</f>
        <v/>
      </c>
      <c r="D17" s="10" t="n">
        <f aca="false">'Gap Analysis'!O17</f>
        <v>0</v>
      </c>
      <c r="E17" s="10" t="n">
        <f aca="false">'Gap Analysis'!P17</f>
        <v>0</v>
      </c>
      <c r="F17" s="10" t="n">
        <f aca="false">'Gap Analysis'!Q17</f>
        <v>0</v>
      </c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</row>
    <row r="18" customFormat="false" ht="15" hidden="false" customHeight="false" outlineLevel="0" collapsed="false">
      <c r="A18" s="7" t="s">
        <v>149</v>
      </c>
      <c r="B18" s="7" t="s">
        <v>150</v>
      </c>
      <c r="C18" s="7" t="str">
        <f aca="false">'Gap Analysis'!N18</f>
        <v/>
      </c>
      <c r="D18" s="7" t="n">
        <f aca="false">'Gap Analysis'!O18</f>
        <v>0</v>
      </c>
      <c r="E18" s="7" t="n">
        <f aca="false">'Gap Analysis'!P18</f>
        <v>0</v>
      </c>
      <c r="F18" s="7" t="n">
        <f aca="false">'Gap Analysis'!Q18</f>
        <v>0</v>
      </c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</row>
    <row r="19" customFormat="false" ht="15" hidden="false" customHeight="false" outlineLevel="0" collapsed="false">
      <c r="A19" s="10" t="s">
        <v>153</v>
      </c>
      <c r="B19" s="10" t="s">
        <v>154</v>
      </c>
      <c r="C19" s="10" t="str">
        <f aca="false">'Gap Analysis'!N19</f>
        <v/>
      </c>
      <c r="D19" s="10" t="n">
        <f aca="false">'Gap Analysis'!O19</f>
        <v>0</v>
      </c>
      <c r="E19" s="10" t="n">
        <f aca="false">'Gap Analysis'!P19</f>
        <v>0</v>
      </c>
      <c r="F19" s="10" t="n">
        <f aca="false">'Gap Analysis'!Q19</f>
        <v>0</v>
      </c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</row>
    <row r="20" customFormat="false" ht="15" hidden="false" customHeight="false" outlineLevel="0" collapsed="false">
      <c r="A20" s="7" t="s">
        <v>157</v>
      </c>
      <c r="B20" s="7" t="s">
        <v>158</v>
      </c>
      <c r="C20" s="7" t="str">
        <f aca="false">'Gap Analysis'!N20</f>
        <v/>
      </c>
      <c r="D20" s="7" t="n">
        <f aca="false">'Gap Analysis'!O20</f>
        <v>0</v>
      </c>
      <c r="E20" s="7" t="n">
        <f aca="false">'Gap Analysis'!P20</f>
        <v>0</v>
      </c>
      <c r="F20" s="7" t="n">
        <f aca="false">'Gap Analysis'!Q20</f>
        <v>0</v>
      </c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</row>
    <row r="21" customFormat="false" ht="15" hidden="false" customHeight="false" outlineLevel="0" collapsed="false">
      <c r="A21" s="10" t="s">
        <v>164</v>
      </c>
      <c r="B21" s="10" t="s">
        <v>165</v>
      </c>
      <c r="C21" s="10" t="str">
        <f aca="false">'Gap Analysis'!N21</f>
        <v/>
      </c>
      <c r="D21" s="10" t="n">
        <f aca="false">'Gap Analysis'!O21</f>
        <v>0</v>
      </c>
      <c r="E21" s="10" t="n">
        <f aca="false">'Gap Analysis'!P21</f>
        <v>0</v>
      </c>
      <c r="F21" s="10" t="n">
        <f aca="false">'Gap Analysis'!Q21</f>
        <v>0</v>
      </c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</row>
    <row r="22" customFormat="false" ht="15" hidden="false" customHeight="false" outlineLevel="0" collapsed="false">
      <c r="A22" s="7" t="s">
        <v>170</v>
      </c>
      <c r="B22" s="7" t="s">
        <v>171</v>
      </c>
      <c r="C22" s="7" t="str">
        <f aca="false">'Gap Analysis'!N22</f>
        <v/>
      </c>
      <c r="D22" s="7" t="n">
        <f aca="false">'Gap Analysis'!O22</f>
        <v>0</v>
      </c>
      <c r="E22" s="7" t="n">
        <f aca="false">'Gap Analysis'!P22</f>
        <v>0</v>
      </c>
      <c r="F22" s="7" t="n">
        <f aca="false">'Gap Analysis'!Q22</f>
        <v>0</v>
      </c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</row>
    <row r="23" customFormat="false" ht="15" hidden="false" customHeight="false" outlineLevel="0" collapsed="false">
      <c r="A23" s="10" t="s">
        <v>174</v>
      </c>
      <c r="B23" s="10" t="s">
        <v>175</v>
      </c>
      <c r="C23" s="10" t="str">
        <f aca="false">'Gap Analysis'!N23</f>
        <v/>
      </c>
      <c r="D23" s="10" t="n">
        <f aca="false">'Gap Analysis'!O23</f>
        <v>0</v>
      </c>
      <c r="E23" s="10" t="n">
        <f aca="false">'Gap Analysis'!P23</f>
        <v>0</v>
      </c>
      <c r="F23" s="10" t="n">
        <f aca="false">'Gap Analysis'!Q23</f>
        <v>0</v>
      </c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</row>
    <row r="24" customFormat="false" ht="15" hidden="false" customHeight="false" outlineLevel="0" collapsed="false">
      <c r="A24" s="7" t="s">
        <v>180</v>
      </c>
      <c r="B24" s="7" t="s">
        <v>181</v>
      </c>
      <c r="C24" s="7" t="str">
        <f aca="false">'Gap Analysis'!N24</f>
        <v/>
      </c>
      <c r="D24" s="7" t="n">
        <f aca="false">'Gap Analysis'!O24</f>
        <v>0</v>
      </c>
      <c r="E24" s="7" t="n">
        <f aca="false">'Gap Analysis'!P24</f>
        <v>0</v>
      </c>
      <c r="F24" s="7" t="n">
        <f aca="false">'Gap Analysis'!Q24</f>
        <v>0</v>
      </c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</row>
    <row r="25" customFormat="false" ht="15" hidden="false" customHeight="false" outlineLevel="0" collapsed="false">
      <c r="A25" s="10" t="s">
        <v>185</v>
      </c>
      <c r="B25" s="10" t="s">
        <v>186</v>
      </c>
      <c r="C25" s="10" t="str">
        <f aca="false">'Gap Analysis'!N25</f>
        <v/>
      </c>
      <c r="D25" s="10" t="n">
        <f aca="false">'Gap Analysis'!O25</f>
        <v>0</v>
      </c>
      <c r="E25" s="10" t="n">
        <f aca="false">'Gap Analysis'!P25</f>
        <v>0</v>
      </c>
      <c r="F25" s="10" t="n">
        <f aca="false">'Gap Analysis'!Q25</f>
        <v>0</v>
      </c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</row>
    <row r="26" customFormat="false" ht="15" hidden="false" customHeight="false" outlineLevel="0" collapsed="false">
      <c r="A26" s="7" t="s">
        <v>189</v>
      </c>
      <c r="B26" s="7" t="s">
        <v>190</v>
      </c>
      <c r="C26" s="7" t="str">
        <f aca="false">'Gap Analysis'!N26</f>
        <v/>
      </c>
      <c r="D26" s="7" t="n">
        <f aca="false">'Gap Analysis'!O26</f>
        <v>0</v>
      </c>
      <c r="E26" s="7" t="n">
        <f aca="false">'Gap Analysis'!P26</f>
        <v>0</v>
      </c>
      <c r="F26" s="7" t="n">
        <f aca="false">'Gap Analysis'!Q26</f>
        <v>0</v>
      </c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</row>
    <row r="27" customFormat="false" ht="15" hidden="false" customHeight="false" outlineLevel="0" collapsed="false">
      <c r="A27" s="10" t="s">
        <v>194</v>
      </c>
      <c r="B27" s="10" t="s">
        <v>195</v>
      </c>
      <c r="C27" s="10" t="str">
        <f aca="false">'Gap Analysis'!N27</f>
        <v/>
      </c>
      <c r="D27" s="10" t="n">
        <f aca="false">'Gap Analysis'!O27</f>
        <v>0</v>
      </c>
      <c r="E27" s="10" t="n">
        <f aca="false">'Gap Analysis'!P27</f>
        <v>0</v>
      </c>
      <c r="F27" s="10" t="n">
        <f aca="false">'Gap Analysis'!Q27</f>
        <v>0</v>
      </c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</row>
    <row r="28" customFormat="false" ht="15" hidden="false" customHeight="false" outlineLevel="0" collapsed="false">
      <c r="A28" s="7" t="s">
        <v>198</v>
      </c>
      <c r="B28" s="7" t="s">
        <v>199</v>
      </c>
      <c r="C28" s="7" t="str">
        <f aca="false">'Gap Analysis'!N28</f>
        <v/>
      </c>
      <c r="D28" s="7" t="n">
        <f aca="false">'Gap Analysis'!O28</f>
        <v>0</v>
      </c>
      <c r="E28" s="7" t="n">
        <f aca="false">'Gap Analysis'!P28</f>
        <v>0</v>
      </c>
      <c r="F28" s="7" t="n">
        <f aca="false">'Gap Analysis'!Q28</f>
        <v>0</v>
      </c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</row>
    <row r="29" customFormat="false" ht="15" hidden="false" customHeight="false" outlineLevel="0" collapsed="false">
      <c r="A29" s="10" t="s">
        <v>202</v>
      </c>
      <c r="B29" s="10" t="s">
        <v>203</v>
      </c>
      <c r="C29" s="10" t="str">
        <f aca="false">'Gap Analysis'!N29</f>
        <v/>
      </c>
      <c r="D29" s="10" t="n">
        <f aca="false">'Gap Analysis'!O29</f>
        <v>0</v>
      </c>
      <c r="E29" s="10" t="n">
        <f aca="false">'Gap Analysis'!P29</f>
        <v>0</v>
      </c>
      <c r="F29" s="10" t="n">
        <f aca="false">'Gap Analysis'!Q29</f>
        <v>0</v>
      </c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</row>
    <row r="30" customFormat="false" ht="15" hidden="false" customHeight="false" outlineLevel="0" collapsed="false">
      <c r="A30" s="7" t="s">
        <v>206</v>
      </c>
      <c r="B30" s="7" t="s">
        <v>207</v>
      </c>
      <c r="C30" s="7" t="str">
        <f aca="false">'Gap Analysis'!N30</f>
        <v/>
      </c>
      <c r="D30" s="7" t="n">
        <f aca="false">'Gap Analysis'!O30</f>
        <v>0</v>
      </c>
      <c r="E30" s="7" t="n">
        <f aca="false">'Gap Analysis'!P30</f>
        <v>0</v>
      </c>
      <c r="F30" s="7" t="n">
        <f aca="false">'Gap Analysis'!Q30</f>
        <v>0</v>
      </c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</row>
    <row r="31" customFormat="false" ht="15" hidden="false" customHeight="false" outlineLevel="0" collapsed="false">
      <c r="A31" s="10" t="s">
        <v>210</v>
      </c>
      <c r="B31" s="10" t="s">
        <v>211</v>
      </c>
      <c r="C31" s="10" t="str">
        <f aca="false">'Gap Analysis'!N31</f>
        <v/>
      </c>
      <c r="D31" s="10" t="n">
        <f aca="false">'Gap Analysis'!O31</f>
        <v>0</v>
      </c>
      <c r="E31" s="10" t="n">
        <f aca="false">'Gap Analysis'!P31</f>
        <v>0</v>
      </c>
      <c r="F31" s="10" t="n">
        <f aca="false">'Gap Analysis'!Q31</f>
        <v>0</v>
      </c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</row>
    <row r="32" customFormat="false" ht="15" hidden="false" customHeight="false" outlineLevel="0" collapsed="false">
      <c r="A32" s="7" t="s">
        <v>214</v>
      </c>
      <c r="B32" s="7" t="s">
        <v>215</v>
      </c>
      <c r="C32" s="7" t="str">
        <f aca="false">'Gap Analysis'!N32</f>
        <v/>
      </c>
      <c r="D32" s="7" t="n">
        <f aca="false">'Gap Analysis'!O32</f>
        <v>0</v>
      </c>
      <c r="E32" s="7" t="n">
        <f aca="false">'Gap Analysis'!P32</f>
        <v>0</v>
      </c>
      <c r="F32" s="7" t="n">
        <f aca="false">'Gap Analysis'!Q32</f>
        <v>0</v>
      </c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</row>
    <row r="33" customFormat="false" ht="15" hidden="false" customHeight="false" outlineLevel="0" collapsed="false">
      <c r="A33" s="10" t="s">
        <v>218</v>
      </c>
      <c r="B33" s="10" t="s">
        <v>219</v>
      </c>
      <c r="C33" s="10" t="str">
        <f aca="false">'Gap Analysis'!N33</f>
        <v/>
      </c>
      <c r="D33" s="10" t="n">
        <f aca="false">'Gap Analysis'!O33</f>
        <v>0</v>
      </c>
      <c r="E33" s="10" t="n">
        <f aca="false">'Gap Analysis'!P33</f>
        <v>0</v>
      </c>
      <c r="F33" s="10" t="n">
        <f aca="false">'Gap Analysis'!Q33</f>
        <v>0</v>
      </c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</row>
    <row r="34" customFormat="false" ht="15" hidden="false" customHeight="false" outlineLevel="0" collapsed="false">
      <c r="A34" s="7" t="s">
        <v>222</v>
      </c>
      <c r="B34" s="7" t="s">
        <v>223</v>
      </c>
      <c r="C34" s="7" t="str">
        <f aca="false">'Gap Analysis'!N34</f>
        <v/>
      </c>
      <c r="D34" s="7" t="n">
        <f aca="false">'Gap Analysis'!O34</f>
        <v>0</v>
      </c>
      <c r="E34" s="7" t="n">
        <f aca="false">'Gap Analysis'!P34</f>
        <v>0</v>
      </c>
      <c r="F34" s="7" t="n">
        <f aca="false">'Gap Analysis'!Q34</f>
        <v>0</v>
      </c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</row>
    <row r="35" customFormat="false" ht="15" hidden="false" customHeight="false" outlineLevel="0" collapsed="false">
      <c r="A35" s="10" t="s">
        <v>229</v>
      </c>
      <c r="B35" s="10" t="s">
        <v>230</v>
      </c>
      <c r="C35" s="10" t="str">
        <f aca="false">'Gap Analysis'!N35</f>
        <v/>
      </c>
      <c r="D35" s="10" t="n">
        <f aca="false">'Gap Analysis'!O35</f>
        <v>0</v>
      </c>
      <c r="E35" s="10" t="n">
        <f aca="false">'Gap Analysis'!P35</f>
        <v>0</v>
      </c>
      <c r="F35" s="10" t="n">
        <f aca="false">'Gap Analysis'!Q35</f>
        <v>0</v>
      </c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</row>
    <row r="36" customFormat="false" ht="15" hidden="false" customHeight="false" outlineLevel="0" collapsed="false">
      <c r="A36" s="7" t="s">
        <v>233</v>
      </c>
      <c r="B36" s="7" t="s">
        <v>234</v>
      </c>
      <c r="C36" s="7" t="str">
        <f aca="false">'Gap Analysis'!N36</f>
        <v/>
      </c>
      <c r="D36" s="7" t="n">
        <f aca="false">'Gap Analysis'!O36</f>
        <v>0</v>
      </c>
      <c r="E36" s="7" t="n">
        <f aca="false">'Gap Analysis'!P36</f>
        <v>0</v>
      </c>
      <c r="F36" s="7" t="n">
        <f aca="false">'Gap Analysis'!Q36</f>
        <v>0</v>
      </c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</row>
    <row r="37" customFormat="false" ht="15" hidden="false" customHeight="false" outlineLevel="0" collapsed="false">
      <c r="A37" s="10" t="s">
        <v>237</v>
      </c>
      <c r="B37" s="10" t="s">
        <v>238</v>
      </c>
      <c r="C37" s="10" t="str">
        <f aca="false">'Gap Analysis'!N37</f>
        <v/>
      </c>
      <c r="D37" s="10" t="n">
        <f aca="false">'Gap Analysis'!O37</f>
        <v>0</v>
      </c>
      <c r="E37" s="10" t="n">
        <f aca="false">'Gap Analysis'!P37</f>
        <v>0</v>
      </c>
      <c r="F37" s="10" t="n">
        <f aca="false">'Gap Analysis'!Q37</f>
        <v>0</v>
      </c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</row>
    <row r="38" customFormat="false" ht="15" hidden="false" customHeight="false" outlineLevel="0" collapsed="false">
      <c r="A38" s="7" t="s">
        <v>243</v>
      </c>
      <c r="B38" s="7" t="s">
        <v>244</v>
      </c>
      <c r="C38" s="7" t="str">
        <f aca="false">'Gap Analysis'!N38</f>
        <v/>
      </c>
      <c r="D38" s="7" t="n">
        <f aca="false">'Gap Analysis'!O38</f>
        <v>0</v>
      </c>
      <c r="E38" s="7" t="n">
        <f aca="false">'Gap Analysis'!P38</f>
        <v>0</v>
      </c>
      <c r="F38" s="7" t="n">
        <f aca="false">'Gap Analysis'!Q38</f>
        <v>0</v>
      </c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</row>
    <row r="39" customFormat="false" ht="15" hidden="false" customHeight="false" outlineLevel="0" collapsed="false">
      <c r="A39" s="10" t="s">
        <v>249</v>
      </c>
      <c r="B39" s="10" t="s">
        <v>250</v>
      </c>
      <c r="C39" s="10" t="str">
        <f aca="false">'Gap Analysis'!N39</f>
        <v/>
      </c>
      <c r="D39" s="10" t="n">
        <f aca="false">'Gap Analysis'!O39</f>
        <v>0</v>
      </c>
      <c r="E39" s="10" t="n">
        <f aca="false">'Gap Analysis'!P39</f>
        <v>0</v>
      </c>
      <c r="F39" s="10" t="n">
        <f aca="false">'Gap Analysis'!Q39</f>
        <v>0</v>
      </c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</row>
    <row r="40" customFormat="false" ht="15" hidden="false" customHeight="false" outlineLevel="0" collapsed="false">
      <c r="A40" s="7" t="s">
        <v>253</v>
      </c>
      <c r="B40" s="7" t="s">
        <v>254</v>
      </c>
      <c r="C40" s="7" t="str">
        <f aca="false">'Gap Analysis'!N40</f>
        <v/>
      </c>
      <c r="D40" s="7" t="n">
        <f aca="false">'Gap Analysis'!O40</f>
        <v>0</v>
      </c>
      <c r="E40" s="7" t="n">
        <f aca="false">'Gap Analysis'!P40</f>
        <v>0</v>
      </c>
      <c r="F40" s="7" t="n">
        <f aca="false">'Gap Analysis'!Q40</f>
        <v>0</v>
      </c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</row>
    <row r="41" customFormat="false" ht="15" hidden="false" customHeight="false" outlineLevel="0" collapsed="false">
      <c r="A41" s="10" t="s">
        <v>257</v>
      </c>
      <c r="B41" s="10" t="s">
        <v>258</v>
      </c>
      <c r="C41" s="10" t="str">
        <f aca="false">'Gap Analysis'!N41</f>
        <v/>
      </c>
      <c r="D41" s="10" t="n">
        <f aca="false">'Gap Analysis'!O41</f>
        <v>0</v>
      </c>
      <c r="E41" s="10" t="n">
        <f aca="false">'Gap Analysis'!P41</f>
        <v>0</v>
      </c>
      <c r="F41" s="10" t="n">
        <f aca="false">'Gap Analysis'!Q41</f>
        <v>0</v>
      </c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</row>
    <row r="42" customFormat="false" ht="15" hidden="false" customHeight="false" outlineLevel="0" collapsed="false">
      <c r="A42" s="7" t="s">
        <v>263</v>
      </c>
      <c r="B42" s="7" t="s">
        <v>264</v>
      </c>
      <c r="C42" s="7" t="str">
        <f aca="false">'Gap Analysis'!N42</f>
        <v/>
      </c>
      <c r="D42" s="7" t="n">
        <f aca="false">'Gap Analysis'!O42</f>
        <v>0</v>
      </c>
      <c r="E42" s="7" t="n">
        <f aca="false">'Gap Analysis'!P42</f>
        <v>0</v>
      </c>
      <c r="F42" s="7" t="n">
        <f aca="false">'Gap Analysis'!Q42</f>
        <v>0</v>
      </c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</row>
    <row r="43" customFormat="false" ht="15" hidden="false" customHeight="false" outlineLevel="0" collapsed="false">
      <c r="A43" s="10" t="s">
        <v>266</v>
      </c>
      <c r="B43" s="10" t="s">
        <v>267</v>
      </c>
      <c r="C43" s="10" t="str">
        <f aca="false">'Gap Analysis'!N43</f>
        <v/>
      </c>
      <c r="D43" s="10" t="n">
        <f aca="false">'Gap Analysis'!O43</f>
        <v>0</v>
      </c>
      <c r="E43" s="10" t="n">
        <f aca="false">'Gap Analysis'!P43</f>
        <v>0</v>
      </c>
      <c r="F43" s="10" t="n">
        <f aca="false">'Gap Analysis'!Q43</f>
        <v>0</v>
      </c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</row>
  </sheetData>
  <autoFilter ref="A1:Q43"/>
  <conditionalFormatting sqref="C2:C43">
    <cfRule type="cellIs" priority="2" operator="equal" aboveAverage="0" equalAverage="0" bottom="0" percent="0" rank="0" text="" dxfId="10">
      <formula>"Critical"</formula>
    </cfRule>
    <cfRule type="cellIs" priority="3" operator="equal" aboveAverage="0" equalAverage="0" bottom="0" percent="0" rank="0" text="" dxfId="11">
      <formula>"High"</formula>
    </cfRule>
  </conditionalFormatting>
  <dataValidations count="2">
    <dataValidation allowBlank="true" errorStyle="stop" operator="between" showDropDown="false" showErrorMessage="false" showInputMessage="false" sqref="Q2:Q43" type="list">
      <formula1>"Not Started,In Progress,Blocked,Complete,Deferred"</formula1>
      <formula2>0</formula2>
    </dataValidation>
    <dataValidation allowBlank="true" errorStyle="stop" operator="between" showDropDown="false" showErrorMessage="false" showInputMessage="false" sqref="I2:I43 L2:L43" type="list">
      <formula1>"Not Started,In Progress,Complete,Deferred"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44AD"/>
    <pageSetUpPr fitToPage="false"/>
  </sheetPr>
  <dimension ref="A1:H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8"/>
    <col collapsed="false" customWidth="true" hidden="false" outlineLevel="0" max="3" min="3" style="0" width="15"/>
    <col collapsed="false" customWidth="true" hidden="false" outlineLevel="0" max="6" min="4" style="0" width="14"/>
    <col collapsed="false" customWidth="true" hidden="false" outlineLevel="0" max="7" min="7" style="0" width="16"/>
    <col collapsed="false" customWidth="true" hidden="false" outlineLevel="0" max="8" min="8" style="0" width="60"/>
  </cols>
  <sheetData>
    <row r="1" customFormat="false" ht="36" hidden="false" customHeight="true" outlineLevel="0" collapsed="false">
      <c r="A1" s="23" t="s">
        <v>39</v>
      </c>
      <c r="B1" s="23" t="s">
        <v>40</v>
      </c>
      <c r="C1" s="23" t="s">
        <v>41</v>
      </c>
      <c r="D1" s="23" t="s">
        <v>298</v>
      </c>
      <c r="E1" s="23" t="s">
        <v>299</v>
      </c>
      <c r="F1" s="23" t="s">
        <v>300</v>
      </c>
      <c r="G1" s="23" t="s">
        <v>301</v>
      </c>
      <c r="H1" s="23" t="s">
        <v>302</v>
      </c>
    </row>
    <row r="2" customFormat="false" ht="22.35" hidden="false" customHeight="false" outlineLevel="0" collapsed="false">
      <c r="A2" s="7" t="s">
        <v>61</v>
      </c>
      <c r="B2" s="7" t="s">
        <v>62</v>
      </c>
      <c r="C2" s="7" t="s">
        <v>63</v>
      </c>
      <c r="D2" s="24" t="s">
        <v>303</v>
      </c>
      <c r="E2" s="25" t="s">
        <v>304</v>
      </c>
      <c r="F2" s="25" t="s">
        <v>304</v>
      </c>
      <c r="G2" s="24" t="s">
        <v>303</v>
      </c>
      <c r="H2" s="7" t="s">
        <v>305</v>
      </c>
    </row>
    <row r="3" customFormat="false" ht="22.35" hidden="false" customHeight="false" outlineLevel="0" collapsed="false">
      <c r="A3" s="10" t="s">
        <v>68</v>
      </c>
      <c r="B3" s="10" t="s">
        <v>69</v>
      </c>
      <c r="C3" s="10" t="s">
        <v>63</v>
      </c>
      <c r="D3" s="24" t="s">
        <v>303</v>
      </c>
      <c r="E3" s="24" t="s">
        <v>303</v>
      </c>
      <c r="F3" s="25" t="s">
        <v>304</v>
      </c>
      <c r="G3" s="24" t="s">
        <v>303</v>
      </c>
      <c r="H3" s="10" t="s">
        <v>306</v>
      </c>
    </row>
    <row r="4" customFormat="false" ht="22.35" hidden="false" customHeight="false" outlineLevel="0" collapsed="false">
      <c r="A4" s="7" t="s">
        <v>74</v>
      </c>
      <c r="B4" s="7" t="s">
        <v>75</v>
      </c>
      <c r="C4" s="7" t="s">
        <v>63</v>
      </c>
      <c r="D4" s="24" t="s">
        <v>303</v>
      </c>
      <c r="E4" s="25" t="s">
        <v>304</v>
      </c>
      <c r="F4" s="25" t="s">
        <v>304</v>
      </c>
      <c r="G4" s="24" t="s">
        <v>303</v>
      </c>
      <c r="H4" s="7" t="s">
        <v>307</v>
      </c>
    </row>
    <row r="5" customFormat="false" ht="22.35" hidden="false" customHeight="false" outlineLevel="0" collapsed="false">
      <c r="A5" s="10" t="s">
        <v>80</v>
      </c>
      <c r="B5" s="10" t="s">
        <v>81</v>
      </c>
      <c r="C5" s="10" t="s">
        <v>63</v>
      </c>
      <c r="D5" s="24" t="s">
        <v>303</v>
      </c>
      <c r="E5" s="24" t="s">
        <v>303</v>
      </c>
      <c r="F5" s="24" t="s">
        <v>303</v>
      </c>
      <c r="G5" s="24" t="s">
        <v>303</v>
      </c>
      <c r="H5" s="10" t="s">
        <v>308</v>
      </c>
    </row>
    <row r="6" customFormat="false" ht="22.35" hidden="false" customHeight="false" outlineLevel="0" collapsed="false">
      <c r="A6" s="7" t="s">
        <v>86</v>
      </c>
      <c r="B6" s="7" t="s">
        <v>87</v>
      </c>
      <c r="C6" s="7" t="s">
        <v>63</v>
      </c>
      <c r="D6" s="24" t="s">
        <v>303</v>
      </c>
      <c r="E6" s="24" t="s">
        <v>303</v>
      </c>
      <c r="F6" s="24" t="s">
        <v>303</v>
      </c>
      <c r="G6" s="24" t="s">
        <v>303</v>
      </c>
      <c r="H6" s="7" t="s">
        <v>309</v>
      </c>
    </row>
    <row r="7" customFormat="false" ht="22.35" hidden="false" customHeight="false" outlineLevel="0" collapsed="false">
      <c r="A7" s="10" t="s">
        <v>91</v>
      </c>
      <c r="B7" s="10" t="s">
        <v>92</v>
      </c>
      <c r="C7" s="10" t="s">
        <v>63</v>
      </c>
      <c r="D7" s="24" t="s">
        <v>303</v>
      </c>
      <c r="E7" s="24" t="s">
        <v>303</v>
      </c>
      <c r="F7" s="24" t="s">
        <v>303</v>
      </c>
      <c r="G7" s="25" t="s">
        <v>304</v>
      </c>
      <c r="H7" s="10" t="s">
        <v>310</v>
      </c>
    </row>
    <row r="8" customFormat="false" ht="15" hidden="false" customHeight="false" outlineLevel="0" collapsed="false">
      <c r="A8" s="7" t="s">
        <v>95</v>
      </c>
      <c r="B8" s="7" t="s">
        <v>96</v>
      </c>
      <c r="C8" s="7" t="s">
        <v>63</v>
      </c>
      <c r="D8" s="24" t="s">
        <v>303</v>
      </c>
      <c r="E8" s="24" t="s">
        <v>303</v>
      </c>
      <c r="F8" s="24" t="s">
        <v>303</v>
      </c>
      <c r="G8" s="24" t="s">
        <v>303</v>
      </c>
      <c r="H8" s="7" t="s">
        <v>311</v>
      </c>
    </row>
    <row r="9" customFormat="false" ht="22.35" hidden="false" customHeight="false" outlineLevel="0" collapsed="false">
      <c r="A9" s="10" t="s">
        <v>101</v>
      </c>
      <c r="B9" s="10" t="s">
        <v>102</v>
      </c>
      <c r="C9" s="10" t="s">
        <v>63</v>
      </c>
      <c r="D9" s="24" t="s">
        <v>303</v>
      </c>
      <c r="E9" s="24" t="s">
        <v>303</v>
      </c>
      <c r="F9" s="26" t="s">
        <v>312</v>
      </c>
      <c r="G9" s="24" t="s">
        <v>303</v>
      </c>
      <c r="H9" s="10" t="s">
        <v>313</v>
      </c>
    </row>
    <row r="10" customFormat="false" ht="22.35" hidden="false" customHeight="false" outlineLevel="0" collapsed="false">
      <c r="A10" s="7" t="s">
        <v>107</v>
      </c>
      <c r="B10" s="7" t="s">
        <v>108</v>
      </c>
      <c r="C10" s="7" t="s">
        <v>63</v>
      </c>
      <c r="D10" s="24" t="s">
        <v>303</v>
      </c>
      <c r="E10" s="24" t="s">
        <v>303</v>
      </c>
      <c r="F10" s="25" t="s">
        <v>304</v>
      </c>
      <c r="G10" s="24" t="s">
        <v>303</v>
      </c>
      <c r="H10" s="7" t="s">
        <v>314</v>
      </c>
    </row>
    <row r="11" customFormat="false" ht="22.35" hidden="false" customHeight="false" outlineLevel="0" collapsed="false">
      <c r="A11" s="10" t="s">
        <v>113</v>
      </c>
      <c r="B11" s="10" t="s">
        <v>114</v>
      </c>
      <c r="C11" s="10" t="s">
        <v>63</v>
      </c>
      <c r="D11" s="24" t="s">
        <v>303</v>
      </c>
      <c r="E11" s="25" t="s">
        <v>304</v>
      </c>
      <c r="F11" s="25" t="s">
        <v>304</v>
      </c>
      <c r="G11" s="24" t="s">
        <v>303</v>
      </c>
      <c r="H11" s="10" t="s">
        <v>315</v>
      </c>
    </row>
    <row r="12" customFormat="false" ht="22.35" hidden="false" customHeight="false" outlineLevel="0" collapsed="false">
      <c r="A12" s="7" t="s">
        <v>119</v>
      </c>
      <c r="B12" s="7" t="s">
        <v>120</v>
      </c>
      <c r="C12" s="7" t="s">
        <v>121</v>
      </c>
      <c r="D12" s="24" t="s">
        <v>303</v>
      </c>
      <c r="E12" s="24" t="s">
        <v>303</v>
      </c>
      <c r="F12" s="24" t="s">
        <v>303</v>
      </c>
      <c r="G12" s="24" t="s">
        <v>303</v>
      </c>
      <c r="H12" s="7" t="s">
        <v>316</v>
      </c>
    </row>
    <row r="13" customFormat="false" ht="22.35" hidden="false" customHeight="false" outlineLevel="0" collapsed="false">
      <c r="A13" s="10" t="s">
        <v>126</v>
      </c>
      <c r="B13" s="10" t="s">
        <v>127</v>
      </c>
      <c r="C13" s="10" t="s">
        <v>121</v>
      </c>
      <c r="D13" s="24" t="s">
        <v>303</v>
      </c>
      <c r="E13" s="24" t="s">
        <v>303</v>
      </c>
      <c r="F13" s="25" t="s">
        <v>304</v>
      </c>
      <c r="G13" s="24" t="s">
        <v>303</v>
      </c>
      <c r="H13" s="10" t="s">
        <v>317</v>
      </c>
    </row>
    <row r="14" customFormat="false" ht="22.35" hidden="false" customHeight="false" outlineLevel="0" collapsed="false">
      <c r="A14" s="7" t="s">
        <v>131</v>
      </c>
      <c r="B14" s="7" t="s">
        <v>132</v>
      </c>
      <c r="C14" s="7" t="s">
        <v>121</v>
      </c>
      <c r="D14" s="24" t="s">
        <v>303</v>
      </c>
      <c r="E14" s="24" t="s">
        <v>303</v>
      </c>
      <c r="F14" s="25" t="s">
        <v>304</v>
      </c>
      <c r="G14" s="24" t="s">
        <v>303</v>
      </c>
      <c r="H14" s="7" t="s">
        <v>318</v>
      </c>
    </row>
    <row r="15" customFormat="false" ht="22.35" hidden="false" customHeight="false" outlineLevel="0" collapsed="false">
      <c r="A15" s="10" t="s">
        <v>137</v>
      </c>
      <c r="B15" s="10" t="s">
        <v>138</v>
      </c>
      <c r="C15" s="10" t="s">
        <v>121</v>
      </c>
      <c r="D15" s="24" t="s">
        <v>303</v>
      </c>
      <c r="E15" s="24" t="s">
        <v>303</v>
      </c>
      <c r="F15" s="24" t="s">
        <v>303</v>
      </c>
      <c r="G15" s="24" t="s">
        <v>303</v>
      </c>
      <c r="H15" s="10" t="s">
        <v>319</v>
      </c>
    </row>
    <row r="16" customFormat="false" ht="22.35" hidden="false" customHeight="false" outlineLevel="0" collapsed="false">
      <c r="A16" s="7" t="s">
        <v>141</v>
      </c>
      <c r="B16" s="7" t="s">
        <v>142</v>
      </c>
      <c r="C16" s="7" t="s">
        <v>121</v>
      </c>
      <c r="D16" s="24" t="s">
        <v>303</v>
      </c>
      <c r="E16" s="24" t="s">
        <v>303</v>
      </c>
      <c r="F16" s="25" t="s">
        <v>304</v>
      </c>
      <c r="G16" s="24" t="s">
        <v>303</v>
      </c>
      <c r="H16" s="7" t="s">
        <v>320</v>
      </c>
    </row>
    <row r="17" customFormat="false" ht="22.35" hidden="false" customHeight="false" outlineLevel="0" collapsed="false">
      <c r="A17" s="10" t="s">
        <v>145</v>
      </c>
      <c r="B17" s="10" t="s">
        <v>146</v>
      </c>
      <c r="C17" s="10" t="s">
        <v>121</v>
      </c>
      <c r="D17" s="24" t="s">
        <v>303</v>
      </c>
      <c r="E17" s="24" t="s">
        <v>303</v>
      </c>
      <c r="F17" s="25" t="s">
        <v>304</v>
      </c>
      <c r="G17" s="25" t="s">
        <v>304</v>
      </c>
      <c r="H17" s="10" t="s">
        <v>321</v>
      </c>
    </row>
    <row r="18" customFormat="false" ht="22.35" hidden="false" customHeight="false" outlineLevel="0" collapsed="false">
      <c r="A18" s="7" t="s">
        <v>149</v>
      </c>
      <c r="B18" s="7" t="s">
        <v>150</v>
      </c>
      <c r="C18" s="7" t="s">
        <v>121</v>
      </c>
      <c r="D18" s="24" t="s">
        <v>303</v>
      </c>
      <c r="E18" s="24" t="s">
        <v>303</v>
      </c>
      <c r="F18" s="25" t="s">
        <v>304</v>
      </c>
      <c r="G18" s="24" t="s">
        <v>303</v>
      </c>
      <c r="H18" s="7" t="s">
        <v>322</v>
      </c>
    </row>
    <row r="19" customFormat="false" ht="22.35" hidden="false" customHeight="false" outlineLevel="0" collapsed="false">
      <c r="A19" s="10" t="s">
        <v>153</v>
      </c>
      <c r="B19" s="10" t="s">
        <v>154</v>
      </c>
      <c r="C19" s="10" t="s">
        <v>121</v>
      </c>
      <c r="D19" s="24" t="s">
        <v>303</v>
      </c>
      <c r="E19" s="25" t="s">
        <v>304</v>
      </c>
      <c r="F19" s="24" t="s">
        <v>303</v>
      </c>
      <c r="G19" s="25" t="s">
        <v>304</v>
      </c>
      <c r="H19" s="10" t="s">
        <v>323</v>
      </c>
    </row>
    <row r="20" customFormat="false" ht="15" hidden="false" customHeight="false" outlineLevel="0" collapsed="false">
      <c r="A20" s="7" t="s">
        <v>157</v>
      </c>
      <c r="B20" s="7" t="s">
        <v>158</v>
      </c>
      <c r="C20" s="7" t="s">
        <v>159</v>
      </c>
      <c r="D20" s="24" t="s">
        <v>303</v>
      </c>
      <c r="E20" s="24" t="s">
        <v>303</v>
      </c>
      <c r="F20" s="24" t="s">
        <v>303</v>
      </c>
      <c r="G20" s="24" t="s">
        <v>303</v>
      </c>
      <c r="H20" s="7" t="s">
        <v>324</v>
      </c>
    </row>
    <row r="21" customFormat="false" ht="22.35" hidden="false" customHeight="false" outlineLevel="0" collapsed="false">
      <c r="A21" s="10" t="s">
        <v>164</v>
      </c>
      <c r="B21" s="10" t="s">
        <v>165</v>
      </c>
      <c r="C21" s="10" t="s">
        <v>159</v>
      </c>
      <c r="D21" s="24" t="s">
        <v>303</v>
      </c>
      <c r="E21" s="24" t="s">
        <v>303</v>
      </c>
      <c r="F21" s="25" t="s">
        <v>304</v>
      </c>
      <c r="G21" s="24" t="s">
        <v>303</v>
      </c>
      <c r="H21" s="10" t="s">
        <v>325</v>
      </c>
    </row>
    <row r="22" customFormat="false" ht="15" hidden="false" customHeight="false" outlineLevel="0" collapsed="false">
      <c r="A22" s="7" t="s">
        <v>170</v>
      </c>
      <c r="B22" s="7" t="s">
        <v>171</v>
      </c>
      <c r="C22" s="7" t="s">
        <v>159</v>
      </c>
      <c r="D22" s="24" t="s">
        <v>303</v>
      </c>
      <c r="E22" s="24" t="s">
        <v>303</v>
      </c>
      <c r="F22" s="24" t="s">
        <v>303</v>
      </c>
      <c r="G22" s="24" t="s">
        <v>303</v>
      </c>
      <c r="H22" s="7" t="s">
        <v>326</v>
      </c>
    </row>
    <row r="23" customFormat="false" ht="15" hidden="false" customHeight="false" outlineLevel="0" collapsed="false">
      <c r="A23" s="10" t="s">
        <v>174</v>
      </c>
      <c r="B23" s="10" t="s">
        <v>175</v>
      </c>
      <c r="C23" s="10" t="s">
        <v>159</v>
      </c>
      <c r="D23" s="24" t="s">
        <v>303</v>
      </c>
      <c r="E23" s="24" t="s">
        <v>303</v>
      </c>
      <c r="F23" s="24" t="s">
        <v>303</v>
      </c>
      <c r="G23" s="24" t="s">
        <v>303</v>
      </c>
      <c r="H23" s="10" t="s">
        <v>327</v>
      </c>
    </row>
    <row r="24" customFormat="false" ht="22.35" hidden="false" customHeight="false" outlineLevel="0" collapsed="false">
      <c r="A24" s="7" t="s">
        <v>180</v>
      </c>
      <c r="B24" s="7" t="s">
        <v>181</v>
      </c>
      <c r="C24" s="7" t="s">
        <v>159</v>
      </c>
      <c r="D24" s="24" t="s">
        <v>303</v>
      </c>
      <c r="E24" s="24" t="s">
        <v>303</v>
      </c>
      <c r="F24" s="25" t="s">
        <v>304</v>
      </c>
      <c r="G24" s="24" t="s">
        <v>303</v>
      </c>
      <c r="H24" s="7" t="s">
        <v>328</v>
      </c>
    </row>
    <row r="25" customFormat="false" ht="15" hidden="false" customHeight="false" outlineLevel="0" collapsed="false">
      <c r="A25" s="10" t="s">
        <v>185</v>
      </c>
      <c r="B25" s="10" t="s">
        <v>186</v>
      </c>
      <c r="C25" s="10" t="s">
        <v>159</v>
      </c>
      <c r="D25" s="24" t="s">
        <v>303</v>
      </c>
      <c r="E25" s="24" t="s">
        <v>303</v>
      </c>
      <c r="F25" s="25" t="s">
        <v>304</v>
      </c>
      <c r="G25" s="24" t="s">
        <v>303</v>
      </c>
      <c r="H25" s="10" t="s">
        <v>329</v>
      </c>
    </row>
    <row r="26" customFormat="false" ht="22.35" hidden="false" customHeight="false" outlineLevel="0" collapsed="false">
      <c r="A26" s="7" t="s">
        <v>189</v>
      </c>
      <c r="B26" s="7" t="s">
        <v>190</v>
      </c>
      <c r="C26" s="7" t="s">
        <v>191</v>
      </c>
      <c r="D26" s="24" t="s">
        <v>303</v>
      </c>
      <c r="E26" s="24" t="s">
        <v>303</v>
      </c>
      <c r="F26" s="24" t="s">
        <v>303</v>
      </c>
      <c r="G26" s="24" t="s">
        <v>303</v>
      </c>
      <c r="H26" s="7" t="s">
        <v>330</v>
      </c>
    </row>
    <row r="27" customFormat="false" ht="22.35" hidden="false" customHeight="false" outlineLevel="0" collapsed="false">
      <c r="A27" s="10" t="s">
        <v>194</v>
      </c>
      <c r="B27" s="10" t="s">
        <v>195</v>
      </c>
      <c r="C27" s="10" t="s">
        <v>191</v>
      </c>
      <c r="D27" s="24" t="s">
        <v>303</v>
      </c>
      <c r="E27" s="24" t="s">
        <v>303</v>
      </c>
      <c r="F27" s="25" t="s">
        <v>304</v>
      </c>
      <c r="G27" s="25" t="s">
        <v>304</v>
      </c>
      <c r="H27" s="10" t="s">
        <v>331</v>
      </c>
    </row>
    <row r="28" customFormat="false" ht="22.35" hidden="false" customHeight="false" outlineLevel="0" collapsed="false">
      <c r="A28" s="7" t="s">
        <v>198</v>
      </c>
      <c r="B28" s="7" t="s">
        <v>199</v>
      </c>
      <c r="C28" s="7" t="s">
        <v>191</v>
      </c>
      <c r="D28" s="24" t="s">
        <v>303</v>
      </c>
      <c r="E28" s="24" t="s">
        <v>303</v>
      </c>
      <c r="F28" s="25" t="s">
        <v>304</v>
      </c>
      <c r="G28" s="25" t="s">
        <v>304</v>
      </c>
      <c r="H28" s="7" t="s">
        <v>332</v>
      </c>
    </row>
    <row r="29" customFormat="false" ht="22.35" hidden="false" customHeight="false" outlineLevel="0" collapsed="false">
      <c r="A29" s="10" t="s">
        <v>202</v>
      </c>
      <c r="B29" s="10" t="s">
        <v>203</v>
      </c>
      <c r="C29" s="10" t="s">
        <v>191</v>
      </c>
      <c r="D29" s="24" t="s">
        <v>303</v>
      </c>
      <c r="E29" s="24" t="s">
        <v>303</v>
      </c>
      <c r="F29" s="25" t="s">
        <v>304</v>
      </c>
      <c r="G29" s="24" t="s">
        <v>303</v>
      </c>
      <c r="H29" s="10" t="s">
        <v>333</v>
      </c>
    </row>
    <row r="30" customFormat="false" ht="22.35" hidden="false" customHeight="false" outlineLevel="0" collapsed="false">
      <c r="A30" s="7" t="s">
        <v>206</v>
      </c>
      <c r="B30" s="7" t="s">
        <v>207</v>
      </c>
      <c r="C30" s="7" t="s">
        <v>191</v>
      </c>
      <c r="D30" s="24" t="s">
        <v>303</v>
      </c>
      <c r="E30" s="24" t="s">
        <v>303</v>
      </c>
      <c r="F30" s="24" t="s">
        <v>303</v>
      </c>
      <c r="G30" s="25" t="s">
        <v>304</v>
      </c>
      <c r="H30" s="7" t="s">
        <v>334</v>
      </c>
    </row>
    <row r="31" customFormat="false" ht="22.35" hidden="false" customHeight="false" outlineLevel="0" collapsed="false">
      <c r="A31" s="10" t="s">
        <v>210</v>
      </c>
      <c r="B31" s="10" t="s">
        <v>211</v>
      </c>
      <c r="C31" s="10" t="s">
        <v>191</v>
      </c>
      <c r="D31" s="24" t="s">
        <v>303</v>
      </c>
      <c r="E31" s="25" t="s">
        <v>304</v>
      </c>
      <c r="F31" s="25" t="s">
        <v>304</v>
      </c>
      <c r="G31" s="26" t="s">
        <v>312</v>
      </c>
      <c r="H31" s="10" t="s">
        <v>335</v>
      </c>
    </row>
    <row r="32" customFormat="false" ht="15" hidden="false" customHeight="false" outlineLevel="0" collapsed="false">
      <c r="A32" s="7" t="s">
        <v>214</v>
      </c>
      <c r="B32" s="7" t="s">
        <v>215</v>
      </c>
      <c r="C32" s="7" t="s">
        <v>191</v>
      </c>
      <c r="D32" s="24" t="s">
        <v>303</v>
      </c>
      <c r="E32" s="24" t="s">
        <v>303</v>
      </c>
      <c r="F32" s="24" t="s">
        <v>303</v>
      </c>
      <c r="G32" s="24" t="s">
        <v>303</v>
      </c>
      <c r="H32" s="7" t="s">
        <v>336</v>
      </c>
    </row>
    <row r="33" customFormat="false" ht="22.35" hidden="false" customHeight="false" outlineLevel="0" collapsed="false">
      <c r="A33" s="10" t="s">
        <v>218</v>
      </c>
      <c r="B33" s="10" t="s">
        <v>219</v>
      </c>
      <c r="C33" s="10" t="s">
        <v>191</v>
      </c>
      <c r="D33" s="24" t="s">
        <v>303</v>
      </c>
      <c r="E33" s="24" t="s">
        <v>303</v>
      </c>
      <c r="F33" s="25" t="s">
        <v>304</v>
      </c>
      <c r="G33" s="25" t="s">
        <v>304</v>
      </c>
      <c r="H33" s="10" t="s">
        <v>337</v>
      </c>
    </row>
    <row r="34" customFormat="false" ht="15" hidden="false" customHeight="false" outlineLevel="0" collapsed="false">
      <c r="A34" s="7" t="s">
        <v>222</v>
      </c>
      <c r="B34" s="7" t="s">
        <v>223</v>
      </c>
      <c r="C34" s="7" t="s">
        <v>224</v>
      </c>
      <c r="D34" s="24" t="s">
        <v>303</v>
      </c>
      <c r="E34" s="24" t="s">
        <v>303</v>
      </c>
      <c r="F34" s="24" t="s">
        <v>303</v>
      </c>
      <c r="G34" s="24" t="s">
        <v>303</v>
      </c>
      <c r="H34" s="7" t="s">
        <v>338</v>
      </c>
    </row>
    <row r="35" customFormat="false" ht="22.35" hidden="false" customHeight="false" outlineLevel="0" collapsed="false">
      <c r="A35" s="10" t="s">
        <v>229</v>
      </c>
      <c r="B35" s="10" t="s">
        <v>230</v>
      </c>
      <c r="C35" s="10" t="s">
        <v>224</v>
      </c>
      <c r="D35" s="24" t="s">
        <v>303</v>
      </c>
      <c r="E35" s="24" t="s">
        <v>303</v>
      </c>
      <c r="F35" s="25" t="s">
        <v>304</v>
      </c>
      <c r="G35" s="25" t="s">
        <v>304</v>
      </c>
      <c r="H35" s="10" t="s">
        <v>339</v>
      </c>
    </row>
    <row r="36" customFormat="false" ht="22.35" hidden="false" customHeight="false" outlineLevel="0" collapsed="false">
      <c r="A36" s="7" t="s">
        <v>233</v>
      </c>
      <c r="B36" s="7" t="s">
        <v>234</v>
      </c>
      <c r="C36" s="7" t="s">
        <v>224</v>
      </c>
      <c r="D36" s="24" t="s">
        <v>303</v>
      </c>
      <c r="E36" s="24" t="s">
        <v>303</v>
      </c>
      <c r="F36" s="25" t="s">
        <v>304</v>
      </c>
      <c r="G36" s="24" t="s">
        <v>303</v>
      </c>
      <c r="H36" s="7" t="s">
        <v>340</v>
      </c>
    </row>
    <row r="37" customFormat="false" ht="22.35" hidden="false" customHeight="false" outlineLevel="0" collapsed="false">
      <c r="A37" s="10" t="s">
        <v>237</v>
      </c>
      <c r="B37" s="10" t="s">
        <v>238</v>
      </c>
      <c r="C37" s="10" t="s">
        <v>224</v>
      </c>
      <c r="D37" s="24" t="s">
        <v>303</v>
      </c>
      <c r="E37" s="24" t="s">
        <v>303</v>
      </c>
      <c r="F37" s="24" t="s">
        <v>303</v>
      </c>
      <c r="G37" s="24" t="s">
        <v>303</v>
      </c>
      <c r="H37" s="10" t="s">
        <v>341</v>
      </c>
    </row>
    <row r="38" customFormat="false" ht="15" hidden="false" customHeight="false" outlineLevel="0" collapsed="false">
      <c r="A38" s="7" t="s">
        <v>243</v>
      </c>
      <c r="B38" s="7" t="s">
        <v>244</v>
      </c>
      <c r="C38" s="7" t="s">
        <v>224</v>
      </c>
      <c r="D38" s="24" t="s">
        <v>303</v>
      </c>
      <c r="E38" s="24" t="s">
        <v>303</v>
      </c>
      <c r="F38" s="24" t="s">
        <v>303</v>
      </c>
      <c r="G38" s="25" t="s">
        <v>304</v>
      </c>
      <c r="H38" s="7" t="s">
        <v>342</v>
      </c>
    </row>
    <row r="39" customFormat="false" ht="22.35" hidden="false" customHeight="false" outlineLevel="0" collapsed="false">
      <c r="A39" s="10" t="s">
        <v>249</v>
      </c>
      <c r="B39" s="10" t="s">
        <v>250</v>
      </c>
      <c r="C39" s="10" t="s">
        <v>224</v>
      </c>
      <c r="D39" s="24" t="s">
        <v>303</v>
      </c>
      <c r="E39" s="24" t="s">
        <v>303</v>
      </c>
      <c r="F39" s="25" t="s">
        <v>304</v>
      </c>
      <c r="G39" s="24" t="s">
        <v>303</v>
      </c>
      <c r="H39" s="10" t="s">
        <v>343</v>
      </c>
    </row>
    <row r="40" customFormat="false" ht="15" hidden="false" customHeight="false" outlineLevel="0" collapsed="false">
      <c r="A40" s="7" t="s">
        <v>253</v>
      </c>
      <c r="B40" s="7" t="s">
        <v>254</v>
      </c>
      <c r="C40" s="7" t="s">
        <v>224</v>
      </c>
      <c r="D40" s="24" t="s">
        <v>303</v>
      </c>
      <c r="E40" s="24" t="s">
        <v>303</v>
      </c>
      <c r="F40" s="24" t="s">
        <v>303</v>
      </c>
      <c r="G40" s="24" t="s">
        <v>303</v>
      </c>
      <c r="H40" s="7" t="s">
        <v>344</v>
      </c>
    </row>
    <row r="41" customFormat="false" ht="22.35" hidden="false" customHeight="false" outlineLevel="0" collapsed="false">
      <c r="A41" s="10" t="s">
        <v>257</v>
      </c>
      <c r="B41" s="10" t="s">
        <v>258</v>
      </c>
      <c r="C41" s="10" t="s">
        <v>224</v>
      </c>
      <c r="D41" s="24" t="s">
        <v>303</v>
      </c>
      <c r="E41" s="24" t="s">
        <v>303</v>
      </c>
      <c r="F41" s="25" t="s">
        <v>304</v>
      </c>
      <c r="G41" s="24" t="s">
        <v>303</v>
      </c>
      <c r="H41" s="10" t="s">
        <v>345</v>
      </c>
    </row>
    <row r="42" customFormat="false" ht="22.35" hidden="false" customHeight="false" outlineLevel="0" collapsed="false">
      <c r="A42" s="7" t="s">
        <v>263</v>
      </c>
      <c r="B42" s="7" t="s">
        <v>264</v>
      </c>
      <c r="C42" s="7" t="s">
        <v>224</v>
      </c>
      <c r="D42" s="24" t="s">
        <v>303</v>
      </c>
      <c r="E42" s="25" t="s">
        <v>304</v>
      </c>
      <c r="F42" s="25" t="s">
        <v>304</v>
      </c>
      <c r="G42" s="24" t="s">
        <v>303</v>
      </c>
      <c r="H42" s="7" t="s">
        <v>346</v>
      </c>
    </row>
    <row r="43" customFormat="false" ht="22.35" hidden="false" customHeight="false" outlineLevel="0" collapsed="false">
      <c r="A43" s="10" t="s">
        <v>266</v>
      </c>
      <c r="B43" s="10" t="s">
        <v>267</v>
      </c>
      <c r="C43" s="10" t="s">
        <v>224</v>
      </c>
      <c r="D43" s="24" t="s">
        <v>303</v>
      </c>
      <c r="E43" s="25" t="s">
        <v>304</v>
      </c>
      <c r="F43" s="26" t="s">
        <v>312</v>
      </c>
      <c r="G43" s="24" t="s">
        <v>303</v>
      </c>
      <c r="H43" s="10" t="s">
        <v>347</v>
      </c>
    </row>
  </sheetData>
  <autoFilter ref="A1:H4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2026-05-05T01:43:22Z</dcterms:created>
  <dc:creator>openpyxl</dc:creator>
  <dc:description/>
  <dc:language>en-US</dc:language>
  <cp:lastModifiedBy/>
  <dcterms:modified xsi:type="dcterms:W3CDTF">2026-05-05T01:43:22Z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