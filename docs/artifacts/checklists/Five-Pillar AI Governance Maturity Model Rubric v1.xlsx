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urity Rubric" sheetId="1" state="visible" r:id="rId3"/>
    <sheet name="Scoring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<sst xmlns="http://schemas.openxmlformats.org/spreadsheetml/2006/main" count="158" uniqueCount="133">
  <si>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t xml:space="preserve">Pillar</t>
  </si>
  <si>
    <t xml:space="preserve">Function / Capability</t>
  </si>
  <si>
    <t xml:space="preserve">Traditional</t>
  </si>
  <si>
    <t xml:space="preserve">Initial</t>
  </si>
  <si>
    <t xml:space="preserve">Advanced</t>
  </si>
  <si>
    <t xml:space="preserve">Optimal</t>
  </si>
  <si>
    <t xml:space="preserve">Current
Stage</t>
  </si>
  <si>
    <t xml:space="preserve">Target
Stage</t>
  </si>
  <si>
    <t xml:space="preserve">Gap
Notes</t>
  </si>
  <si>
    <t xml:space="preserve">Cross-Walk
(CISA/CMMC/CSF/DoD/ISO)</t>
  </si>
  <si>
    <t xml:space="preserve">P1: Governance, Security,
Privacy Baked In</t>
  </si>
  <si>
    <t xml:space="preserve">Governance Integration</t>
  </si>
  <si>
    <t xml:space="preserve">AI governance is ad hoc; no CAIO designated; AI policies absent or outdated; no AI Strategy published</t>
  </si>
  <si>
    <t xml:space="preserve">CAIO designated; AI Governance Board formed but meets irregularly; AI Strategy exists but not refreshed post-M-25-21; some policies updated</t>
  </si>
  <si>
    <t xml:space="preserve">AI Governance Board meets quarterly with documented decisions; AI Strategy current and published; all policies updated per M-25-21 deadlines; AIA process formalized</t>
  </si>
  <si>
    <t xml:space="preserve">AI governance fully integrated into enterprise risk management; automated policy compliance checking; continuous AIA lifecycle; governance-by-design primitives enforced in CI/CD</t>
  </si>
  <si>
    <t xml:space="preserve">CISA ZTMM Governance; CSF 2.0 GV; CMMC PM; ISO 42001 5.1/A.2/A.3</t>
  </si>
  <si>
    <t xml:space="preserve">Security Engineering</t>
  </si>
  <si>
    <t xml:space="preserve">No AI-specific threat model; no AIBOM/SBOM; dependencies not pinned; no pre-deployment evaluation gate</t>
  </si>
  <si>
    <t xml:space="preserve">MITRE ATT&amp;CK threat model exists but ATLAS not integrated; SBOMs produced manually; some dependencies pinned; evaluation gates informal</t>
  </si>
  <si>
    <t xml:space="preserve">Unified ATT&amp;CK+ATLAS threat model; CycloneDX ML-BOM and SBOM produced automatically in CI/CD; SLSA L2 provenance; evaluation gates enforced with Inspect/HELM</t>
  </si>
  <si>
    <t xml:space="preserve">SLSA L3 with Sigstore keyless signing; AIBOMs auto-generated and published to Rekor; pre-deployment evaluation registered as in-toto attestation; canary tokens in training data</t>
  </si>
  <si>
    <t xml:space="preserve">CISA ZTMM Apps &amp; Workloads; CSF 2.0 PR/ID; CMMC SA/SR; ISO 42001 A.6</t>
  </si>
  <si>
    <t xml:space="preserve">Privacy Engineering</t>
  </si>
  <si>
    <t xml:space="preserve">No AI-specific PIA; training data PII handling undocumented; no privacy-enhancing technologies</t>
  </si>
  <si>
    <t xml:space="preserve">PIA completed for some AI systems; PII flagged in training data but not systematically; de-identification applied inconsistently</t>
  </si>
  <si>
    <t xml:space="preserve">PIA with AI Supplement for all PII-processing AI; differential privacy parameters documented; membership inference tested; consent mechanisms formalized</t>
  </si>
  <si>
    <t xml:space="preserve">Automated PIA lifecycle integrated with model lifecycle; DP epsilon tracked and optimized; embedding inversion tested annually; federated learning where applicable</t>
  </si>
  <si>
    <t xml:space="preserve">CISA ZTMM Data; CSF 2.0 PR; NIST PF 1.1; ISO 42001 A.7</t>
  </si>
  <si>
    <t xml:space="preserve">P2: Assumed Breach</t>
  </si>
  <si>
    <t xml:space="preserve">Detection &amp; Response</t>
  </si>
  <si>
    <t xml:space="preserve">No AI-specific IR plan; SIEM does not ingest AI telemetry; no AI-specific detection rules; MTTD/MTTR not measured for AI</t>
  </si>
  <si>
    <t xml:space="preserve">AI IR plan drafted but not tested; SIEM ingests some prompt logs; basic prompt-injection detection deployed; MTTD/MTTR baselined</t>
  </si>
  <si>
    <t xml:space="preserve">AI IR plan with 8 scenario runbooks tested via TTX within 12 months; full OTel GenAI telemetry in SIEM; specialized detectors for prompt injection, model extraction, and anomalous inference</t>
  </si>
  <si>
    <t xml:space="preserve">Continuous AI threat hunting; ML-based anomaly detection on inference patterns; automated containment for detected prompt injection; MTTD &lt;15min and MTTR &lt;1hr for AI incidents</t>
  </si>
  <si>
    <t xml:space="preserve">CISA ZTMM Vis &amp; Analytics; CSF 2.0 DE/RS; CMMC IR/AU; ISO 42001 A.8.4</t>
  </si>
  <si>
    <t xml:space="preserve">Containment &amp; Isolation</t>
  </si>
  <si>
    <t xml:space="preserve">AI workloads run in standard containers with no additional isolation; no kill-switch; model weights on standard storage</t>
  </si>
  <si>
    <t xml:space="preserve">Some agent workloads sandboxed (gVisor or equivalent); kill-switch procedure documented but untested; model weights encrypted at rest</t>
  </si>
  <si>
    <t xml:space="preserve">Firecracker/gVisor for all agent workloads; GPU-MIG for inference isolation; kill-switch tested within 12 months; weights in HSM-backed storage per RAND SL3</t>
  </si>
  <si>
    <t xml:space="preserve">Confidential computing (H100/Blackwell CC) for all sensitive inference; hardware-attested isolation; kill-switch automated with &lt;15min disconnect; RAND SL4+ weight security</t>
  </si>
  <si>
    <t xml:space="preserve">CISA ZTMM Networks/Data; CSF 2.0 PR; CMMC SC/PE; NSA AI Deployment</t>
  </si>
  <si>
    <t xml:space="preserve">Red Team &amp; Evaluation</t>
  </si>
  <si>
    <t xml:space="preserve">No AI red-team capability; no AI-specific vulnerability assessment</t>
  </si>
  <si>
    <t xml:space="preserve">Ad hoc AI red-teaming by internal team; prompt injection testing performed manually</t>
  </si>
  <si>
    <t xml:space="preserve">Structured red-team program using recognized methodology (CDAO CAIRT, METR, Inspect); annual cycle; findings severity-scored with 90-day N1/N2 SLA</t>
  </si>
  <si>
    <t xml:space="preserve">Continuous red-team/purple-team integration; automated adversarial testing in CI/CD; scheming/alignment evaluations per Apollo Research methodology; CAISI-aligned capability evaluations</t>
  </si>
  <si>
    <t xml:space="preserve">CISA ZTMM Vis &amp; Analytics; CSF 2.0 ID.RA; CMMC CA; CDAO CAIRT</t>
  </si>
  <si>
    <t xml:space="preserve">P3: No Single Point
of Failure</t>
  </si>
  <si>
    <t xml:space="preserve">Concentration Risk Mgmt</t>
  </si>
  <si>
    <t xml:space="preserve">No concentration risk register; single-vendor AI dependency undocumented; no failover capability</t>
  </si>
  <si>
    <t xml:space="preserve">Concentration risk register initialized; dominant vendors identified; failover discussed but not tested</t>
  </si>
  <si>
    <t xml:space="preserve">8-dimension concentration register maintained quarterly; failover plan documented with measured RTO/RPO; multi-model abstraction layer deployed</t>
  </si>
  <si>
    <t xml:space="preserve">Real-time concentration monitoring; automated failover tested quarterly; multi-cloud burst patterns active; no single vendor &gt;org-defined threshold without risk acceptance</t>
  </si>
  <si>
    <t xml:space="preserve">NIST 800-160v2 Diversity; CSF 2.0 ID.SC; CMMC SR; ISO 42001 A.10</t>
  </si>
  <si>
    <t xml:space="preserve">Supply Chain Integrity</t>
  </si>
  <si>
    <t xml:space="preserve">Dependencies not pinned; no SBOM/AIBOM; no build provenance; vendor certifications accepted at face value</t>
  </si>
  <si>
    <t xml:space="preserve">Some dependencies pinned; SBOMs produced for key systems; vendor certifications collected but not verified</t>
  </si>
  <si>
    <t xml:space="preserve">All dependencies pinned by hash; SBOM+AIBOM for all artifacts; SLSA L2 provenance; vendor certifications verified (engagement-letter attestation); Delve-lesson applied</t>
  </si>
  <si>
    <t xml:space="preserve">SLSA L3 with Sigstore; reproducible builds; AIBOM auto-generated in CI/CD; certifier due diligence formalized; threshold cryptography for release keys</t>
  </si>
  <si>
    <t xml:space="preserve">NIST 800-161r1; CSF 2.0 ID.SC; CMMC SR; EO 14028 §4</t>
  </si>
  <si>
    <t xml:space="preserve">Resilience Engineering</t>
  </si>
  <si>
    <t xml:space="preserve">No AI-specific BIA or ISCP; no separation of duties for model deployment</t>
  </si>
  <si>
    <t xml:space="preserve">BIA includes some AI dependencies; ISCP has basic AI entries; SoD matrix drafted</t>
  </si>
  <si>
    <t xml:space="preserve">BIA with MTD/RTO/RPO per AI system; ISCP with AI-specific scenarios tested within 12 months; SoD enforced with multi-party deployment authorization</t>
  </si>
  <si>
    <t xml:space="preserve">Automated BIA updates on dependency changes; continuous contingency validation; chaos engineering applied to AI pipelines; SoD with threshold cryptography</t>
  </si>
  <si>
    <t xml:space="preserve">NIST 800-34r1; CSF 2.0 RC; CMMC CP/AC; ISO 42001 A.4.5</t>
  </si>
  <si>
    <t xml:space="preserve">P4: Zero Trust
Throughout</t>
  </si>
  <si>
    <t xml:space="preserve">Identity</t>
  </si>
  <si>
    <t xml:space="preserve">Password-based or legacy MFA (SMS/TOTP); no workload identity; no agent identity; shared service accounts</t>
  </si>
  <si>
    <t xml:space="preserve">Phishing-resistant MFA deployed for some users; SPIFFE/SPIRE piloted; agent identity not addressed; service accounts inventoried</t>
  </si>
  <si>
    <t xml:space="preserve">FIDO2/WebAuthn or PIV/CAC enforced enterprise-wide; SPIFFE SVIDs for all AI workloads (1hr TTL, 30min rotation); agent identity via emerging standards; per-action authorization for agents</t>
  </si>
  <si>
    <t xml:space="preserve">Continuous risk-based authentication; SPIFFE federation across all clouds; CAISI-aligned agent identity with delegation-chain attestations; mean time-to-revoke &lt;60s; no static credentials anywhere</t>
  </si>
  <si>
    <t xml:space="preserve">CISA ZTMM Identity; DoD ZT Pillar 1; CMMC IA; NIST 800-207</t>
  </si>
  <si>
    <t xml:space="preserve">Network &amp; Workload</t>
  </si>
  <si>
    <t xml:space="preserve">Flat network; AI workloads co-located with general IT; no microsegmentation; no mTLS between services</t>
  </si>
  <si>
    <t xml:space="preserve">Some network segmentation (VLANs/NSGs); AI training and inference in dedicated subnets; mTLS partially deployed</t>
  </si>
  <si>
    <t xml:space="preserve">Identity-aware microsegmentation (Cilium/Istio) for all AI workloads; GPU-MIG for inference isolation; mTLS on all east-west traffic; egress filtering for AI agents</t>
  </si>
  <si>
    <t xml:space="preserve">eBPF-based identity-aware policies; confidential computing (TDX/SEV-SNP/H100 CC); agent sandboxing with hardware attestation; zero standing network access</t>
  </si>
  <si>
    <t xml:space="preserve">CISA ZTMM Networks/Apps; DoD ZT Pillar 3-4; CMMC SC; NIST 800-207A</t>
  </si>
  <si>
    <t xml:space="preserve">Data &amp; MCP Security</t>
  </si>
  <si>
    <t xml:space="preserve">Data access by role not by request; MCP servers unassessed; no OAuth on MCP; vector stores not tenant-isolated</t>
  </si>
  <si>
    <t xml:space="preserve">Data access policies defined; MCP inventory started; some HTTP MCP servers use OAuth; vector store access logged</t>
  </si>
  <si>
    <t xml:space="preserve">Per-request data authorization; all MCP servers assessed against OX Security disclosure; HTTP servers use OAuth 2.1 per spec; STDIO servers sandboxed; vector stores tenant-isolated</t>
  </si>
  <si>
    <t xml:space="preserve">Real-time data classification and tagging; MCP servers continuously monitored with CVE tracking; confidential computing for sensitive data processing; encrypted vector stores with per-tenant keys</t>
  </si>
  <si>
    <t xml:space="preserve">CISA ZTMM Data; DoD ZT Pillar 5; MCP Auth Spec; NIST 800-207</t>
  </si>
  <si>
    <t xml:space="preserve">P5: 360
Accountability</t>
  </si>
  <si>
    <t xml:space="preserve">Evidence &amp; Attestation</t>
  </si>
  <si>
    <t xml:space="preserve">Governance artifacts in Word/PDF on SharePoint; no hash chain; no signing; no cross-referencing</t>
  </si>
  <si>
    <t xml:space="preserve">Some artifacts in structured format; OSCAL partially adopted; Sigstore piloted for SBOM signing; evidence scattered across systems</t>
  </si>
  <si>
    <t xml:space="preserve">All artifacts in hash-chained registry; in-toto ITE-6 attestations; Sigstore signing with Rekor entries; OSCAL SSP/SAP/SAR/POA&amp;M generated; cross-pillar UUID referencing</t>
  </si>
  <si>
    <t xml:space="preserve">Continuous evidence pipeline; real-time OSCAL generation from live controls; automated regulator-ready packaging; litigation-hold capability tested; single evidence source-of-truth across all regulators</t>
  </si>
  <si>
    <t xml:space="preserve">FedRAMP 20x OSCAL; SLSA v1.0; in-toto; CSF 2.0 GV; ISO 42001 A.8</t>
  </si>
  <si>
    <t xml:space="preserve">Role Accountability</t>
  </si>
  <si>
    <t xml:space="preserve">No role-responsibility matrix; accountability gaps between developer/deployer/contractor; vendor certifications not verified</t>
  </si>
  <si>
    <t xml:space="preserve">Role-responsibility matrix drafted for some systems; contractor flow-down clauses being standardized; vendor due diligence ad hoc</t>
  </si>
  <si>
    <t xml:space="preserve">Role matrix for all AI systems mapping six 360 roles; AI-specific flow-down clauses in all contracts; certifier due diligence formalized; whistleblower channel operational</t>
  </si>
  <si>
    <t xml:space="preserve">360-role matrix integrated into GRC platform; automated flow-down compliance monitoring; real-time vendor-risk scoring; end-user AUP with AI obligations; insurance attestation at developer+deployer tier</t>
  </si>
  <si>
    <t xml:space="preserve">NIST AI RMF GOVERN-2; GAO-21-519SP; CMMC PS/SR; ISO 42001 A.3/A.10</t>
  </si>
  <si>
    <t xml:space="preserve">Transparency &amp; Disclosure</t>
  </si>
  <si>
    <t xml:space="preserve">No public AI use case inventory; incident disclosure ad hoc; no inference logging; no public feedback mechanism</t>
  </si>
  <si>
    <t xml:space="preserve">AI Use Case Inventory published; incident disclosure SOP drafted; inference logging for some systems; public feedback channel proposed</t>
  </si>
  <si>
    <t xml:space="preserve">AI Use Case Inventory current with high-impact flags; multi-channel incident disclosure pipeline (CAIO/CISA/JCDC.AI/OMB/public); append-only inference logging with crypto checkpoints; public feedback cycle annual</t>
  </si>
  <si>
    <t xml:space="preserve">Real-time AI Use Case Inventory; automated incident disclosure routing by severity; inference logs preserved under litigation-hold-ready policy; continuous public feedback integration; proactive transparency reports</t>
  </si>
  <si>
    <t xml:space="preserve">M-25-21 §7; NIST AI RMF GOVERN-5; EU AI Act Art 73; ISO 42001 A.8</t>
  </si>
  <si>
    <t xml:space="preserve">Five-Pillar Maturity Scoring Summary</t>
  </si>
  <si>
    <t xml:space="preserve">Functions Assessed</t>
  </si>
  <si>
    <t xml:space="preserve">P1: Baked In</t>
  </si>
  <si>
    <t xml:space="preserve">P3: No SPOF</t>
  </si>
  <si>
    <t xml:space="preserve">P4: Zero Trust</t>
  </si>
  <si>
    <t xml:space="preserve">P5: 360 Account.</t>
  </si>
  <si>
    <t xml:space="preserve">Cross-Framework Maturity Equivalence</t>
  </si>
  <si>
    <t xml:space="preserve">Framework Stage</t>
  </si>
  <si>
    <t xml:space="preserve">CISA ZTMM v2.0</t>
  </si>
  <si>
    <t xml:space="preserve">CMMC 2.0</t>
  </si>
  <si>
    <t xml:space="preserve">NIST CSF 2.0</t>
  </si>
  <si>
    <t xml:space="preserve">DoD ZT Strategy</t>
  </si>
  <si>
    <t xml:space="preserve">ISO 42001</t>
  </si>
  <si>
    <t xml:space="preserve">Pre-L1</t>
  </si>
  <si>
    <t xml:space="preserve">Tier 1 (Partial)</t>
  </si>
  <si>
    <t xml:space="preserve">Pre-Target</t>
  </si>
  <si>
    <t xml:space="preserve">Non-conformant</t>
  </si>
  <si>
    <t xml:space="preserve">L1 (FCI Self)</t>
  </si>
  <si>
    <t xml:space="preserve">Tier 2 (Risk Informed)</t>
  </si>
  <si>
    <t xml:space="preserve">Target (partial)</t>
  </si>
  <si>
    <t xml:space="preserve">Statement of Applicability</t>
  </si>
  <si>
    <t xml:space="preserve">L2 (CUI C3PAO)</t>
  </si>
  <si>
    <t xml:space="preserve">Tier 3 (Repeatable)</t>
  </si>
  <si>
    <t xml:space="preserve">Target (152/152)</t>
  </si>
  <si>
    <t xml:space="preserve">Conformant (Stage 2)</t>
  </si>
  <si>
    <t xml:space="preserve">L3 (DIBCAC)</t>
  </si>
  <si>
    <t xml:space="preserve">Tier 4 (Adaptive)</t>
  </si>
  <si>
    <t xml:space="preserve">Conformant + continual improvement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</si>
</sst>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8E44AD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10"/>
      <color rgb="FF33333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2F2"/>
        <bgColor rgb="FFFDEDEC"/>
      </patternFill>
    </fill>
    <fill>
      <patternFill patternType="solid">
        <fgColor rgb="FFFDEDEC"/>
        <bgColor rgb="FFFEF5E7"/>
      </patternFill>
    </fill>
    <fill>
      <patternFill patternType="solid">
        <fgColor rgb="FFFEF5E7"/>
        <bgColor rgb="FFFEF9E7"/>
      </patternFill>
    </fill>
    <fill>
      <patternFill patternType="solid">
        <fgColor rgb="FFFEF9E7"/>
        <bgColor rgb="FFFFF9E6"/>
      </patternFill>
    </fill>
    <fill>
      <patternFill patternType="solid">
        <fgColor rgb="FFEAFAF1"/>
        <bgColor rgb="FFF2F2F2"/>
      </patternFill>
    </fill>
    <fill>
      <patternFill patternType="solid">
        <fgColor rgb="FFFFF9E6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8E44AD"/>
      <rgbColor rgb="FFFFF9E6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EF5E7"/>
      <rgbColor rgb="FFFEF9E7"/>
      <rgbColor rgb="FF99CCFF"/>
      <rgbColor rgb="FFFF99CC"/>
      <rgbColor rgb="FFCC99FF"/>
      <rgbColor rgb="FFFDEDEC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1B3A5C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6" min="3" style="0" width="36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3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79.5" hidden="false" customHeight="true" outlineLevel="0" collapsed="false">
      <c r="A2" s="2" t="s">
        <v>10</v>
      </c>
      <c r="B2" s="3" t="s">
        <v>11</v>
      </c>
      <c r="C2" s="4" t="s">
        <v>12</v>
      </c>
      <c r="D2" s="5" t="s">
        <v>13</v>
      </c>
      <c r="E2" s="6" t="s">
        <v>14</v>
      </c>
      <c r="F2" s="7" t="s">
        <v>15</v>
      </c>
      <c r="G2" s="8"/>
      <c r="H2" s="8"/>
      <c r="I2" s="8"/>
      <c r="J2" s="3" t="s">
        <v>16</v>
      </c>
    </row>
    <row r="3" customFormat="false" ht="79.5" hidden="false" customHeight="true" outlineLevel="0" collapsed="false">
      <c r="A3" s="9" t="s">
        <v>10</v>
      </c>
      <c r="B3" s="10" t="s">
        <v>17</v>
      </c>
      <c r="C3" s="4" t="s">
        <v>18</v>
      </c>
      <c r="D3" s="5" t="s">
        <v>19</v>
      </c>
      <c r="E3" s="6" t="s">
        <v>20</v>
      </c>
      <c r="F3" s="7" t="s">
        <v>21</v>
      </c>
      <c r="G3" s="8"/>
      <c r="H3" s="8"/>
      <c r="I3" s="8"/>
      <c r="J3" s="10" t="s">
        <v>22</v>
      </c>
    </row>
    <row r="4" customFormat="false" ht="79.5" hidden="false" customHeight="true" outlineLevel="0" collapsed="false">
      <c r="A4" s="2" t="s">
        <v>10</v>
      </c>
      <c r="B4" s="3" t="s">
        <v>23</v>
      </c>
      <c r="C4" s="4" t="s">
        <v>24</v>
      </c>
      <c r="D4" s="5" t="s">
        <v>25</v>
      </c>
      <c r="E4" s="6" t="s">
        <v>26</v>
      </c>
      <c r="F4" s="7" t="s">
        <v>27</v>
      </c>
      <c r="G4" s="8"/>
      <c r="H4" s="8"/>
      <c r="I4" s="8"/>
      <c r="J4" s="3" t="s">
        <v>28</v>
      </c>
    </row>
    <row r="5" customFormat="false" ht="79.5" hidden="false" customHeight="true" outlineLevel="0" collapsed="false">
      <c r="A5" s="11" t="s">
        <v>29</v>
      </c>
      <c r="B5" s="10" t="s">
        <v>30</v>
      </c>
      <c r="C5" s="4" t="s">
        <v>31</v>
      </c>
      <c r="D5" s="5" t="s">
        <v>32</v>
      </c>
      <c r="E5" s="6" t="s">
        <v>33</v>
      </c>
      <c r="F5" s="7" t="s">
        <v>34</v>
      </c>
      <c r="G5" s="8"/>
      <c r="H5" s="8"/>
      <c r="I5" s="8"/>
      <c r="J5" s="10" t="s">
        <v>35</v>
      </c>
    </row>
    <row r="6" customFormat="false" ht="79.5" hidden="false" customHeight="true" outlineLevel="0" collapsed="false">
      <c r="A6" s="12" t="s">
        <v>29</v>
      </c>
      <c r="B6" s="3" t="s">
        <v>36</v>
      </c>
      <c r="C6" s="4" t="s">
        <v>37</v>
      </c>
      <c r="D6" s="5" t="s">
        <v>38</v>
      </c>
      <c r="E6" s="6" t="s">
        <v>39</v>
      </c>
      <c r="F6" s="7" t="s">
        <v>40</v>
      </c>
      <c r="G6" s="8"/>
      <c r="H6" s="8"/>
      <c r="I6" s="8"/>
      <c r="J6" s="3" t="s">
        <v>41</v>
      </c>
    </row>
    <row r="7" customFormat="false" ht="79.5" hidden="false" customHeight="true" outlineLevel="0" collapsed="false">
      <c r="A7" s="11" t="s">
        <v>29</v>
      </c>
      <c r="B7" s="10" t="s">
        <v>42</v>
      </c>
      <c r="C7" s="4" t="s">
        <v>43</v>
      </c>
      <c r="D7" s="5" t="s">
        <v>44</v>
      </c>
      <c r="E7" s="6" t="s">
        <v>45</v>
      </c>
      <c r="F7" s="7" t="s">
        <v>46</v>
      </c>
      <c r="G7" s="8"/>
      <c r="H7" s="8"/>
      <c r="I7" s="8"/>
      <c r="J7" s="10" t="s">
        <v>47</v>
      </c>
    </row>
    <row r="8" customFormat="false" ht="79.5" hidden="false" customHeight="true" outlineLevel="0" collapsed="false">
      <c r="A8" s="13" t="s">
        <v>48</v>
      </c>
      <c r="B8" s="3" t="s">
        <v>49</v>
      </c>
      <c r="C8" s="4" t="s">
        <v>50</v>
      </c>
      <c r="D8" s="5" t="s">
        <v>51</v>
      </c>
      <c r="E8" s="6" t="s">
        <v>52</v>
      </c>
      <c r="F8" s="7" t="s">
        <v>53</v>
      </c>
      <c r="G8" s="8"/>
      <c r="H8" s="8"/>
      <c r="I8" s="8"/>
      <c r="J8" s="3" t="s">
        <v>54</v>
      </c>
    </row>
    <row r="9" customFormat="false" ht="79.5" hidden="false" customHeight="true" outlineLevel="0" collapsed="false">
      <c r="A9" s="14" t="s">
        <v>48</v>
      </c>
      <c r="B9" s="10" t="s">
        <v>55</v>
      </c>
      <c r="C9" s="4" t="s">
        <v>56</v>
      </c>
      <c r="D9" s="5" t="s">
        <v>57</v>
      </c>
      <c r="E9" s="6" t="s">
        <v>58</v>
      </c>
      <c r="F9" s="7" t="s">
        <v>59</v>
      </c>
      <c r="G9" s="8"/>
      <c r="H9" s="8"/>
      <c r="I9" s="8"/>
      <c r="J9" s="10" t="s">
        <v>60</v>
      </c>
    </row>
    <row r="10" customFormat="false" ht="79.5" hidden="false" customHeight="true" outlineLevel="0" collapsed="false">
      <c r="A10" s="13" t="s">
        <v>48</v>
      </c>
      <c r="B10" s="3" t="s">
        <v>61</v>
      </c>
      <c r="C10" s="4" t="s">
        <v>62</v>
      </c>
      <c r="D10" s="5" t="s">
        <v>63</v>
      </c>
      <c r="E10" s="6" t="s">
        <v>64</v>
      </c>
      <c r="F10" s="7" t="s">
        <v>65</v>
      </c>
      <c r="G10" s="8"/>
      <c r="H10" s="8"/>
      <c r="I10" s="8"/>
      <c r="J10" s="3" t="s">
        <v>66</v>
      </c>
    </row>
    <row r="11" customFormat="false" ht="79.5" hidden="false" customHeight="true" outlineLevel="0" collapsed="false">
      <c r="A11" s="15" t="s">
        <v>67</v>
      </c>
      <c r="B11" s="10" t="s">
        <v>68</v>
      </c>
      <c r="C11" s="4" t="s">
        <v>69</v>
      </c>
      <c r="D11" s="5" t="s">
        <v>70</v>
      </c>
      <c r="E11" s="6" t="s">
        <v>71</v>
      </c>
      <c r="F11" s="7" t="s">
        <v>72</v>
      </c>
      <c r="G11" s="8"/>
      <c r="H11" s="8"/>
      <c r="I11" s="8"/>
      <c r="J11" s="10" t="s">
        <v>73</v>
      </c>
    </row>
    <row r="12" customFormat="false" ht="79.5" hidden="false" customHeight="true" outlineLevel="0" collapsed="false">
      <c r="A12" s="16" t="s">
        <v>67</v>
      </c>
      <c r="B12" s="3" t="s">
        <v>74</v>
      </c>
      <c r="C12" s="4" t="s">
        <v>75</v>
      </c>
      <c r="D12" s="5" t="s">
        <v>76</v>
      </c>
      <c r="E12" s="6" t="s">
        <v>77</v>
      </c>
      <c r="F12" s="7" t="s">
        <v>78</v>
      </c>
      <c r="G12" s="8"/>
      <c r="H12" s="8"/>
      <c r="I12" s="8"/>
      <c r="J12" s="3" t="s">
        <v>79</v>
      </c>
    </row>
    <row r="13" customFormat="false" ht="79.5" hidden="false" customHeight="true" outlineLevel="0" collapsed="false">
      <c r="A13" s="15" t="s">
        <v>67</v>
      </c>
      <c r="B13" s="10" t="s">
        <v>80</v>
      </c>
      <c r="C13" s="4" t="s">
        <v>81</v>
      </c>
      <c r="D13" s="5" t="s">
        <v>82</v>
      </c>
      <c r="E13" s="6" t="s">
        <v>83</v>
      </c>
      <c r="F13" s="7" t="s">
        <v>84</v>
      </c>
      <c r="G13" s="8"/>
      <c r="H13" s="8"/>
      <c r="I13" s="8"/>
      <c r="J13" s="10" t="s">
        <v>85</v>
      </c>
    </row>
    <row r="14" customFormat="false" ht="79.5" hidden="false" customHeight="true" outlineLevel="0" collapsed="false">
      <c r="A14" s="17" t="s">
        <v>86</v>
      </c>
      <c r="B14" s="3" t="s">
        <v>87</v>
      </c>
      <c r="C14" s="4" t="s">
        <v>88</v>
      </c>
      <c r="D14" s="5" t="s">
        <v>89</v>
      </c>
      <c r="E14" s="6" t="s">
        <v>90</v>
      </c>
      <c r="F14" s="7" t="s">
        <v>91</v>
      </c>
      <c r="G14" s="8"/>
      <c r="H14" s="8"/>
      <c r="I14" s="8"/>
      <c r="J14" s="3" t="s">
        <v>92</v>
      </c>
    </row>
    <row r="15" customFormat="false" ht="79.5" hidden="false" customHeight="true" outlineLevel="0" collapsed="false">
      <c r="A15" s="18" t="s">
        <v>86</v>
      </c>
      <c r="B15" s="10" t="s">
        <v>93</v>
      </c>
      <c r="C15" s="4" t="s">
        <v>94</v>
      </c>
      <c r="D15" s="5" t="s">
        <v>95</v>
      </c>
      <c r="E15" s="6" t="s">
        <v>96</v>
      </c>
      <c r="F15" s="7" t="s">
        <v>97</v>
      </c>
      <c r="G15" s="8"/>
      <c r="H15" s="8"/>
      <c r="I15" s="8"/>
      <c r="J15" s="10" t="s">
        <v>98</v>
      </c>
    </row>
    <row r="16" customFormat="false" ht="79.5" hidden="false" customHeight="true" outlineLevel="0" collapsed="false">
      <c r="A16" s="17" t="s">
        <v>86</v>
      </c>
      <c r="B16" s="3" t="s">
        <v>99</v>
      </c>
      <c r="C16" s="4" t="s">
        <v>100</v>
      </c>
      <c r="D16" s="5" t="s">
        <v>101</v>
      </c>
      <c r="E16" s="6" t="s">
        <v>102</v>
      </c>
      <c r="F16" s="7" t="s">
        <v>103</v>
      </c>
      <c r="G16" s="8"/>
      <c r="H16" s="8"/>
      <c r="I16" s="8"/>
      <c r="J16" s="3" t="s">
        <v>104</v>
      </c>
    </row>
  </sheetData>
  <dataValidations count="1">
    <dataValidation allowBlank="true" errorStyle="stop" operator="between" showDropDown="false" showErrorMessage="false" showInputMessage="false" sqref="G2:H16" type="list">
      <formula1>"Traditional,Initial,Advanced,Optimal"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19" t="s">
        <v>105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1" t="s">
        <v>0</v>
      </c>
      <c r="B3" s="1" t="s">
        <v>106</v>
      </c>
      <c r="C3" s="1" t="s">
        <v>2</v>
      </c>
      <c r="D3" s="1" t="s">
        <v>3</v>
      </c>
      <c r="E3" s="1" t="s">
        <v>4</v>
      </c>
      <c r="F3" s="1" t="s">
        <v>5</v>
      </c>
    </row>
    <row r="4" customFormat="false" ht="15" hidden="false" customHeight="false" outlineLevel="0" collapsed="false">
      <c r="A4" s="20" t="s">
        <v>107</v>
      </c>
      <c r="B4" s="21" t="n">
        <v>3</v>
      </c>
      <c r="C4" s="21" t="n">
        <f aca="false">COUNTIFS('Maturity Rubric'!A:A,"*P1*",'Maturity Rubric'!G:G,"Traditional")</f>
        <v>0</v>
      </c>
      <c r="D4" s="21" t="n">
        <f aca="false">COUNTIFS('Maturity Rubric'!A:A,"*P1*",'Maturity Rubric'!G:G,"Initial")</f>
        <v>0</v>
      </c>
      <c r="E4" s="21" t="n">
        <f aca="false">COUNTIFS('Maturity Rubric'!A:A,"*P1*",'Maturity Rubric'!G:G,"Advanced")</f>
        <v>0</v>
      </c>
      <c r="F4" s="21" t="n">
        <f aca="false">COUNTIFS('Maturity Rubric'!A:A,"*P1*",'Maturity Rubric'!G:G,"Optimal")</f>
        <v>0</v>
      </c>
    </row>
    <row r="5" customFormat="false" ht="15" hidden="false" customHeight="false" outlineLevel="0" collapsed="false">
      <c r="A5" s="22" t="s">
        <v>29</v>
      </c>
      <c r="B5" s="21" t="n">
        <v>3</v>
      </c>
      <c r="C5" s="21" t="n">
        <f aca="false">COUNTIFS('Maturity Rubric'!A:A,"*P2*",'Maturity Rubric'!G:G,"Traditional")</f>
        <v>0</v>
      </c>
      <c r="D5" s="21" t="n">
        <f aca="false">COUNTIFS('Maturity Rubric'!A:A,"*P2*",'Maturity Rubric'!G:G,"Initial")</f>
        <v>0</v>
      </c>
      <c r="E5" s="21" t="n">
        <f aca="false">COUNTIFS('Maturity Rubric'!A:A,"*P2*",'Maturity Rubric'!G:G,"Advanced")</f>
        <v>0</v>
      </c>
      <c r="F5" s="21" t="n">
        <f aca="false">COUNTIFS('Maturity Rubric'!A:A,"*P2*",'Maturity Rubric'!G:G,"Optimal")</f>
        <v>0</v>
      </c>
    </row>
    <row r="6" customFormat="false" ht="15" hidden="false" customHeight="false" outlineLevel="0" collapsed="false">
      <c r="A6" s="23" t="s">
        <v>108</v>
      </c>
      <c r="B6" s="21" t="n">
        <v>3</v>
      </c>
      <c r="C6" s="21" t="n">
        <f aca="false">COUNTIFS('Maturity Rubric'!A:A,"*P3*",'Maturity Rubric'!G:G,"Traditional")</f>
        <v>0</v>
      </c>
      <c r="D6" s="21" t="n">
        <f aca="false">COUNTIFS('Maturity Rubric'!A:A,"*P3*",'Maturity Rubric'!G:G,"Initial")</f>
        <v>0</v>
      </c>
      <c r="E6" s="21" t="n">
        <f aca="false">COUNTIFS('Maturity Rubric'!A:A,"*P3*",'Maturity Rubric'!G:G,"Advanced")</f>
        <v>0</v>
      </c>
      <c r="F6" s="21" t="n">
        <f aca="false">COUNTIFS('Maturity Rubric'!A:A,"*P3*",'Maturity Rubric'!G:G,"Optimal")</f>
        <v>0</v>
      </c>
    </row>
    <row r="7" customFormat="false" ht="15" hidden="false" customHeight="false" outlineLevel="0" collapsed="false">
      <c r="A7" s="24" t="s">
        <v>109</v>
      </c>
      <c r="B7" s="21" t="n">
        <v>3</v>
      </c>
      <c r="C7" s="21" t="n">
        <f aca="false">COUNTIFS('Maturity Rubric'!A:A,"*P4*",'Maturity Rubric'!G:G,"Traditional")</f>
        <v>0</v>
      </c>
      <c r="D7" s="21" t="n">
        <f aca="false">COUNTIFS('Maturity Rubric'!A:A,"*P4*",'Maturity Rubric'!G:G,"Initial")</f>
        <v>0</v>
      </c>
      <c r="E7" s="21" t="n">
        <f aca="false">COUNTIFS('Maturity Rubric'!A:A,"*P4*",'Maturity Rubric'!G:G,"Advanced")</f>
        <v>0</v>
      </c>
      <c r="F7" s="21" t="n">
        <f aca="false">COUNTIFS('Maturity Rubric'!A:A,"*P4*",'Maturity Rubric'!G:G,"Optimal")</f>
        <v>0</v>
      </c>
    </row>
    <row r="8" customFormat="false" ht="15" hidden="false" customHeight="false" outlineLevel="0" collapsed="false">
      <c r="A8" s="25" t="s">
        <v>110</v>
      </c>
      <c r="B8" s="21" t="n">
        <v>3</v>
      </c>
      <c r="C8" s="21" t="n">
        <f aca="false">COUNTIFS('Maturity Rubric'!A:A,"*P5*",'Maturity Rubric'!G:G,"Traditional")</f>
        <v>0</v>
      </c>
      <c r="D8" s="21" t="n">
        <f aca="false">COUNTIFS('Maturity Rubric'!A:A,"*P5*",'Maturity Rubric'!G:G,"Initial")</f>
        <v>0</v>
      </c>
      <c r="E8" s="21" t="n">
        <f aca="false">COUNTIFS('Maturity Rubric'!A:A,"*P5*",'Maturity Rubric'!G:G,"Advanced")</f>
        <v>0</v>
      </c>
      <c r="F8" s="21" t="n">
        <f aca="false">COUNTIFS('Maturity Rubric'!A:A,"*P5*",'Maturity Rubric'!G:G,"Optimal")</f>
        <v>0</v>
      </c>
    </row>
    <row r="11" customFormat="false" ht="17.35" hidden="false" customHeight="false" outlineLevel="0" collapsed="false">
      <c r="A11" s="19" t="s">
        <v>111</v>
      </c>
      <c r="B11" s="19"/>
      <c r="C11" s="19"/>
      <c r="D11" s="19"/>
      <c r="E11" s="19"/>
      <c r="F11" s="19"/>
    </row>
    <row r="13" customFormat="false" ht="15" hidden="false" customHeight="false" outlineLevel="0" collapsed="false">
      <c r="A13" s="26" t="s">
        <v>112</v>
      </c>
      <c r="B13" s="26" t="s">
        <v>113</v>
      </c>
      <c r="C13" s="26" t="s">
        <v>114</v>
      </c>
      <c r="D13" s="26" t="s">
        <v>115</v>
      </c>
      <c r="E13" s="26" t="s">
        <v>116</v>
      </c>
      <c r="F13" s="26" t="s">
        <v>117</v>
      </c>
    </row>
    <row r="14" customFormat="false" ht="15" hidden="false" customHeight="false" outlineLevel="0" collapsed="false">
      <c r="A14" s="27" t="s">
        <v>2</v>
      </c>
      <c r="B14" s="28" t="s">
        <v>2</v>
      </c>
      <c r="C14" s="28" t="s">
        <v>118</v>
      </c>
      <c r="D14" s="28" t="s">
        <v>119</v>
      </c>
      <c r="E14" s="28" t="s">
        <v>120</v>
      </c>
      <c r="F14" s="28" t="s">
        <v>121</v>
      </c>
    </row>
    <row r="15" customFormat="false" ht="15" hidden="false" customHeight="false" outlineLevel="0" collapsed="false">
      <c r="A15" s="29" t="s">
        <v>3</v>
      </c>
      <c r="B15" s="28" t="s">
        <v>3</v>
      </c>
      <c r="C15" s="28" t="s">
        <v>122</v>
      </c>
      <c r="D15" s="28" t="s">
        <v>123</v>
      </c>
      <c r="E15" s="28" t="s">
        <v>124</v>
      </c>
      <c r="F15" s="28" t="s">
        <v>125</v>
      </c>
    </row>
    <row r="16" customFormat="false" ht="15" hidden="false" customHeight="false" outlineLevel="0" collapsed="false">
      <c r="A16" s="30" t="s">
        <v>4</v>
      </c>
      <c r="B16" s="28" t="s">
        <v>4</v>
      </c>
      <c r="C16" s="28" t="s">
        <v>126</v>
      </c>
      <c r="D16" s="28" t="s">
        <v>127</v>
      </c>
      <c r="E16" s="28" t="s">
        <v>128</v>
      </c>
      <c r="F16" s="28" t="s">
        <v>129</v>
      </c>
    </row>
    <row r="17" customFormat="false" ht="23.85" hidden="false" customHeight="false" outlineLevel="0" collapsed="false">
      <c r="A17" s="31" t="s">
        <v>5</v>
      </c>
      <c r="B17" s="28" t="s">
        <v>5</v>
      </c>
      <c r="C17" s="28" t="s">
        <v>130</v>
      </c>
      <c r="D17" s="28" t="s">
        <v>131</v>
      </c>
      <c r="E17" s="28" t="s">
        <v>4</v>
      </c>
      <c r="F17" s="28" t="s">
        <v>132</v>
      </c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2026-05-05T01:46:20Z</dcterms:created>
  <dc:creator>openpyxl</dc:creator>
  <dc:description/>
  <dc:language>en-US</dc:language>
  <cp:lastModifiedBy/>
  <dcterms:modified xsi:type="dcterms:W3CDTF">2026-05-05T01:46:20Z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